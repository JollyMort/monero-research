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0115" windowHeight="7995"/>
  </bookViews>
  <sheets>
    <sheet name="Sheet1" sheetId="1" r:id="rId1"/>
    <sheet name="Sheet2" sheetId="2" r:id="rId2"/>
    <sheet name="Sheet3" sheetId="3" r:id="rId3"/>
  </sheets>
  <functionGroups builtInGroupCount="17"/>
  <definedNames>
    <definedName name="baseReward">Sheet1!$B$1</definedName>
    <definedName name="medianBlockSize">Sheet1!$B$2</definedName>
    <definedName name="singleTxExpansionFactor">Sheet1!$B$3</definedName>
    <definedName name="T_0">Sheet1!$F$1</definedName>
    <definedName name="W_0">Sheet1!$F$2</definedName>
    <definedName name="XMRUSD">Sheet1!$J$1</definedName>
  </definedNames>
  <calcPr calcId="145621"/>
</workbook>
</file>

<file path=xl/calcChain.xml><?xml version="1.0" encoding="utf-8"?>
<calcChain xmlns="http://schemas.openxmlformats.org/spreadsheetml/2006/main">
  <c r="B57" i="1" l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35" i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18" i="1"/>
  <c r="B19" i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17" i="1"/>
  <c r="B16" i="1"/>
  <c r="B9" i="1"/>
  <c r="B8" i="1"/>
  <c r="E10" i="1"/>
  <c r="E9" i="1"/>
  <c r="T9" i="1"/>
  <c r="H9" i="1"/>
  <c r="W9" i="1"/>
  <c r="K9" i="1"/>
  <c r="Z9" i="1"/>
  <c r="B68" i="1" l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Z10" i="1"/>
  <c r="K10" i="1"/>
  <c r="W10" i="1"/>
  <c r="H10" i="1"/>
  <c r="T10" i="1"/>
  <c r="D9" i="1"/>
  <c r="C9" i="1"/>
  <c r="E53" i="1"/>
  <c r="E54" i="1"/>
  <c r="E55" i="1"/>
  <c r="V9" i="1"/>
  <c r="G9" i="1"/>
  <c r="S9" i="1"/>
  <c r="R9" i="1"/>
  <c r="L9" i="1"/>
  <c r="M9" i="1"/>
  <c r="F9" i="1"/>
  <c r="P9" i="1"/>
  <c r="Q9" i="1"/>
  <c r="J9" i="1"/>
  <c r="X9" i="1"/>
  <c r="U9" i="1"/>
  <c r="N9" i="1"/>
  <c r="O9" i="1"/>
  <c r="I9" i="1"/>
  <c r="Y9" i="1"/>
  <c r="Y10" i="1" l="1"/>
  <c r="I10" i="1"/>
  <c r="O10" i="1"/>
  <c r="N10" i="1"/>
  <c r="U10" i="1"/>
  <c r="X10" i="1"/>
  <c r="J10" i="1"/>
  <c r="Q10" i="1"/>
  <c r="P10" i="1"/>
  <c r="F10" i="1"/>
  <c r="M10" i="1"/>
  <c r="L10" i="1"/>
  <c r="R10" i="1"/>
  <c r="S10" i="1"/>
  <c r="G10" i="1"/>
  <c r="V10" i="1"/>
  <c r="C10" i="1"/>
  <c r="D10" i="1"/>
  <c r="E56" i="1"/>
  <c r="E57" i="1"/>
  <c r="E58" i="1" l="1"/>
  <c r="E59" i="1"/>
  <c r="E60" i="1"/>
  <c r="E61" i="1"/>
  <c r="E62" i="1"/>
  <c r="E63" i="1"/>
  <c r="E64" i="1"/>
  <c r="E65" i="1"/>
  <c r="E66" i="1"/>
  <c r="E67" i="1" l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16" i="1" l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15" i="1"/>
  <c r="D15" i="1"/>
  <c r="C15" i="1"/>
  <c r="F1" i="1"/>
  <c r="F2" i="1"/>
  <c r="L15" i="1"/>
  <c r="N16" i="1"/>
  <c r="M15" i="1"/>
  <c r="N15" i="1"/>
  <c r="I15" i="1"/>
  <c r="J15" i="1"/>
  <c r="K15" i="1"/>
  <c r="K16" i="1"/>
  <c r="D16" i="1" l="1"/>
  <c r="C16" i="1"/>
  <c r="B3" i="1"/>
  <c r="J16" i="1"/>
  <c r="M16" i="1"/>
  <c r="I16" i="1"/>
  <c r="L16" i="1"/>
  <c r="K17" i="1"/>
  <c r="N17" i="1"/>
  <c r="O15" i="1"/>
  <c r="Q15" i="1"/>
  <c r="P15" i="1"/>
  <c r="T15" i="1"/>
  <c r="W15" i="1"/>
  <c r="T17" i="1"/>
  <c r="T16" i="1"/>
  <c r="F15" i="1"/>
  <c r="V15" i="1"/>
  <c r="X15" i="1"/>
  <c r="R15" i="1"/>
  <c r="W16" i="1"/>
  <c r="S15" i="1"/>
  <c r="G16" i="1"/>
  <c r="H16" i="1"/>
  <c r="Z15" i="1"/>
  <c r="U15" i="1"/>
  <c r="Y16" i="1"/>
  <c r="H15" i="1"/>
  <c r="Y15" i="1"/>
  <c r="X16" i="1"/>
  <c r="U16" i="1"/>
  <c r="Z16" i="1"/>
  <c r="Z17" i="1"/>
  <c r="Q17" i="1"/>
  <c r="F16" i="1"/>
  <c r="G15" i="1"/>
  <c r="Q16" i="1"/>
  <c r="W17" i="1"/>
  <c r="S16" i="1"/>
  <c r="R16" i="1"/>
  <c r="H17" i="1"/>
  <c r="O16" i="1"/>
  <c r="V16" i="1"/>
  <c r="P16" i="1"/>
  <c r="D17" i="1" l="1"/>
  <c r="C17" i="1"/>
  <c r="M17" i="1"/>
  <c r="J17" i="1"/>
  <c r="K18" i="1"/>
  <c r="N18" i="1"/>
  <c r="L17" i="1"/>
  <c r="I17" i="1"/>
  <c r="Z18" i="1"/>
  <c r="T18" i="1"/>
  <c r="W18" i="1"/>
  <c r="R17" i="1"/>
  <c r="X17" i="1"/>
  <c r="U17" i="1"/>
  <c r="S17" i="1"/>
  <c r="V17" i="1"/>
  <c r="Y17" i="1"/>
  <c r="Q18" i="1"/>
  <c r="F17" i="1"/>
  <c r="H18" i="1"/>
  <c r="O17" i="1"/>
  <c r="G17" i="1"/>
  <c r="P17" i="1"/>
  <c r="C18" i="1" l="1"/>
  <c r="D18" i="1"/>
  <c r="L18" i="1"/>
  <c r="I18" i="1"/>
  <c r="M18" i="1"/>
  <c r="J18" i="1"/>
  <c r="K19" i="1"/>
  <c r="N19" i="1"/>
  <c r="V18" i="1"/>
  <c r="Y18" i="1"/>
  <c r="S18" i="1"/>
  <c r="R18" i="1"/>
  <c r="X18" i="1"/>
  <c r="U18" i="1"/>
  <c r="W19" i="1"/>
  <c r="Z19" i="1"/>
  <c r="T19" i="1"/>
  <c r="Q19" i="1"/>
  <c r="G18" i="1"/>
  <c r="H19" i="1"/>
  <c r="P18" i="1"/>
  <c r="F18" i="1"/>
  <c r="O18" i="1"/>
  <c r="D19" i="1" l="1"/>
  <c r="C19" i="1"/>
  <c r="M19" i="1"/>
  <c r="J19" i="1"/>
  <c r="L19" i="1"/>
  <c r="I19" i="1"/>
  <c r="K20" i="1"/>
  <c r="N20" i="1"/>
  <c r="V19" i="1"/>
  <c r="S19" i="1"/>
  <c r="Y19" i="1"/>
  <c r="T20" i="1"/>
  <c r="W20" i="1"/>
  <c r="Z20" i="1"/>
  <c r="U19" i="1"/>
  <c r="X19" i="1"/>
  <c r="R19" i="1"/>
  <c r="H20" i="1"/>
  <c r="F19" i="1"/>
  <c r="Q20" i="1"/>
  <c r="O19" i="1"/>
  <c r="G19" i="1"/>
  <c r="P19" i="1"/>
  <c r="D20" i="1" l="1"/>
  <c r="C20" i="1"/>
  <c r="K21" i="1"/>
  <c r="N21" i="1"/>
  <c r="M20" i="1"/>
  <c r="J20" i="1"/>
  <c r="L20" i="1"/>
  <c r="I20" i="1"/>
  <c r="V20" i="1"/>
  <c r="S20" i="1"/>
  <c r="Y20" i="1"/>
  <c r="X20" i="1"/>
  <c r="R20" i="1"/>
  <c r="U20" i="1"/>
  <c r="Z21" i="1"/>
  <c r="T21" i="1"/>
  <c r="W21" i="1"/>
  <c r="Q21" i="1"/>
  <c r="F20" i="1"/>
  <c r="H21" i="1"/>
  <c r="O20" i="1"/>
  <c r="G20" i="1"/>
  <c r="P20" i="1"/>
  <c r="C21" i="1" l="1"/>
  <c r="D21" i="1"/>
  <c r="K22" i="1"/>
  <c r="N22" i="1"/>
  <c r="L21" i="1"/>
  <c r="I21" i="1"/>
  <c r="M21" i="1"/>
  <c r="J21" i="1"/>
  <c r="R21" i="1"/>
  <c r="U21" i="1"/>
  <c r="X21" i="1"/>
  <c r="V21" i="1"/>
  <c r="S21" i="1"/>
  <c r="Y21" i="1"/>
  <c r="T22" i="1"/>
  <c r="W22" i="1"/>
  <c r="Z22" i="1"/>
  <c r="Q22" i="1"/>
  <c r="G21" i="1"/>
  <c r="H22" i="1"/>
  <c r="P21" i="1"/>
  <c r="F21" i="1"/>
  <c r="O21" i="1"/>
  <c r="C22" i="1" l="1"/>
  <c r="D22" i="1"/>
  <c r="K23" i="1"/>
  <c r="N23" i="1"/>
  <c r="L22" i="1"/>
  <c r="I22" i="1"/>
  <c r="M22" i="1"/>
  <c r="J22" i="1"/>
  <c r="X22" i="1"/>
  <c r="R22" i="1"/>
  <c r="U22" i="1"/>
  <c r="S22" i="1"/>
  <c r="Y22" i="1"/>
  <c r="V22" i="1"/>
  <c r="T23" i="1"/>
  <c r="W23" i="1"/>
  <c r="Z23" i="1"/>
  <c r="Q23" i="1"/>
  <c r="F22" i="1"/>
  <c r="H23" i="1"/>
  <c r="O22" i="1"/>
  <c r="G22" i="1"/>
  <c r="P22" i="1"/>
  <c r="C23" i="1" l="1"/>
  <c r="D23" i="1"/>
  <c r="K24" i="1"/>
  <c r="N24" i="1"/>
  <c r="L23" i="1"/>
  <c r="I23" i="1"/>
  <c r="M23" i="1"/>
  <c r="J23" i="1"/>
  <c r="Z24" i="1"/>
  <c r="W24" i="1"/>
  <c r="T24" i="1"/>
  <c r="U23" i="1"/>
  <c r="X23" i="1"/>
  <c r="R23" i="1"/>
  <c r="V23" i="1"/>
  <c r="Y23" i="1"/>
  <c r="S23" i="1"/>
  <c r="Q24" i="1"/>
  <c r="G23" i="1"/>
  <c r="H24" i="1"/>
  <c r="P23" i="1"/>
  <c r="F23" i="1"/>
  <c r="O23" i="1"/>
  <c r="D24" i="1" l="1"/>
  <c r="C24" i="1"/>
  <c r="M24" i="1"/>
  <c r="J24" i="1"/>
  <c r="L24" i="1"/>
  <c r="I24" i="1"/>
  <c r="K25" i="1"/>
  <c r="N25" i="1"/>
  <c r="V24" i="1"/>
  <c r="Y24" i="1"/>
  <c r="S24" i="1"/>
  <c r="U24" i="1"/>
  <c r="X24" i="1"/>
  <c r="R24" i="1"/>
  <c r="W25" i="1"/>
  <c r="T25" i="1"/>
  <c r="Z25" i="1"/>
  <c r="Q25" i="1"/>
  <c r="F24" i="1"/>
  <c r="H25" i="1"/>
  <c r="O24" i="1"/>
  <c r="G24" i="1"/>
  <c r="P24" i="1"/>
  <c r="D25" i="1" l="1"/>
  <c r="C25" i="1"/>
  <c r="K26" i="1"/>
  <c r="N26" i="1"/>
  <c r="M25" i="1"/>
  <c r="J25" i="1"/>
  <c r="L25" i="1"/>
  <c r="I25" i="1"/>
  <c r="S25" i="1"/>
  <c r="Y25" i="1"/>
  <c r="V25" i="1"/>
  <c r="X25" i="1"/>
  <c r="U25" i="1"/>
  <c r="R25" i="1"/>
  <c r="T26" i="1"/>
  <c r="Z26" i="1"/>
  <c r="W26" i="1"/>
  <c r="Q26" i="1"/>
  <c r="F25" i="1"/>
  <c r="H26" i="1"/>
  <c r="O25" i="1"/>
  <c r="G25" i="1"/>
  <c r="P25" i="1"/>
  <c r="C26" i="1" l="1"/>
  <c r="D26" i="1"/>
  <c r="K27" i="1"/>
  <c r="N27" i="1"/>
  <c r="L26" i="1"/>
  <c r="I26" i="1"/>
  <c r="M26" i="1"/>
  <c r="J26" i="1"/>
  <c r="U26" i="1"/>
  <c r="X26" i="1"/>
  <c r="R26" i="1"/>
  <c r="V26" i="1"/>
  <c r="S26" i="1"/>
  <c r="Y26" i="1"/>
  <c r="T27" i="1"/>
  <c r="Z27" i="1"/>
  <c r="W27" i="1"/>
  <c r="Q27" i="1"/>
  <c r="F26" i="1"/>
  <c r="H27" i="1"/>
  <c r="O26" i="1"/>
  <c r="G26" i="1"/>
  <c r="P26" i="1"/>
  <c r="C27" i="1" l="1"/>
  <c r="D27" i="1"/>
  <c r="L27" i="1"/>
  <c r="I27" i="1"/>
  <c r="M27" i="1"/>
  <c r="J27" i="1"/>
  <c r="K28" i="1"/>
  <c r="N28" i="1"/>
  <c r="R27" i="1"/>
  <c r="X27" i="1"/>
  <c r="U27" i="1"/>
  <c r="Y27" i="1"/>
  <c r="S27" i="1"/>
  <c r="V27" i="1"/>
  <c r="W28" i="1"/>
  <c r="Z28" i="1"/>
  <c r="T28" i="1"/>
  <c r="Q28" i="1"/>
  <c r="G27" i="1"/>
  <c r="H28" i="1"/>
  <c r="P27" i="1"/>
  <c r="F27" i="1"/>
  <c r="O27" i="1"/>
  <c r="D28" i="1" l="1"/>
  <c r="C28" i="1"/>
  <c r="K29" i="1"/>
  <c r="N29" i="1"/>
  <c r="M28" i="1"/>
  <c r="J28" i="1"/>
  <c r="L28" i="1"/>
  <c r="I28" i="1"/>
  <c r="W29" i="1"/>
  <c r="T29" i="1"/>
  <c r="Z29" i="1"/>
  <c r="X28" i="1"/>
  <c r="R28" i="1"/>
  <c r="U28" i="1"/>
  <c r="S28" i="1"/>
  <c r="Y28" i="1"/>
  <c r="V28" i="1"/>
  <c r="Q29" i="1"/>
  <c r="F28" i="1"/>
  <c r="H29" i="1"/>
  <c r="O28" i="1"/>
  <c r="G28" i="1"/>
  <c r="P28" i="1"/>
  <c r="D29" i="1" l="1"/>
  <c r="C29" i="1"/>
  <c r="M29" i="1"/>
  <c r="J29" i="1"/>
  <c r="L29" i="1"/>
  <c r="I29" i="1"/>
  <c r="K30" i="1"/>
  <c r="N30" i="1"/>
  <c r="S29" i="1"/>
  <c r="Y29" i="1"/>
  <c r="V29" i="1"/>
  <c r="X29" i="1"/>
  <c r="R29" i="1"/>
  <c r="U29" i="1"/>
  <c r="T30" i="1"/>
  <c r="W30" i="1"/>
  <c r="Z30" i="1"/>
  <c r="Q30" i="1"/>
  <c r="G29" i="1"/>
  <c r="H30" i="1"/>
  <c r="P29" i="1"/>
  <c r="F29" i="1"/>
  <c r="O29" i="1"/>
  <c r="C30" i="1" l="1"/>
  <c r="D30" i="1"/>
  <c r="L30" i="1"/>
  <c r="I30" i="1"/>
  <c r="M30" i="1"/>
  <c r="J30" i="1"/>
  <c r="K31" i="1"/>
  <c r="N31" i="1"/>
  <c r="X30" i="1"/>
  <c r="R30" i="1"/>
  <c r="U30" i="1"/>
  <c r="V30" i="1"/>
  <c r="S30" i="1"/>
  <c r="Y30" i="1"/>
  <c r="T31" i="1"/>
  <c r="Z31" i="1"/>
  <c r="W31" i="1"/>
  <c r="Q31" i="1"/>
  <c r="F30" i="1"/>
  <c r="H31" i="1"/>
  <c r="O30" i="1"/>
  <c r="G30" i="1"/>
  <c r="P30" i="1"/>
  <c r="D31" i="1" l="1"/>
  <c r="C31" i="1"/>
  <c r="K32" i="1"/>
  <c r="N32" i="1"/>
  <c r="M31" i="1"/>
  <c r="J31" i="1"/>
  <c r="L31" i="1"/>
  <c r="I31" i="1"/>
  <c r="V31" i="1"/>
  <c r="Y31" i="1"/>
  <c r="S31" i="1"/>
  <c r="R31" i="1"/>
  <c r="U31" i="1"/>
  <c r="X31" i="1"/>
  <c r="W32" i="1"/>
  <c r="T32" i="1"/>
  <c r="Z32" i="1"/>
  <c r="Q32" i="1"/>
  <c r="G31" i="1"/>
  <c r="H32" i="1"/>
  <c r="P31" i="1"/>
  <c r="F31" i="1"/>
  <c r="O31" i="1"/>
  <c r="D32" i="1" l="1"/>
  <c r="C32" i="1"/>
  <c r="K33" i="1"/>
  <c r="N33" i="1"/>
  <c r="M32" i="1"/>
  <c r="J32" i="1"/>
  <c r="L32" i="1"/>
  <c r="I32" i="1"/>
  <c r="V32" i="1"/>
  <c r="Y32" i="1"/>
  <c r="S32" i="1"/>
  <c r="X32" i="1"/>
  <c r="R32" i="1"/>
  <c r="U32" i="1"/>
  <c r="T33" i="1"/>
  <c r="W33" i="1"/>
  <c r="Z33" i="1"/>
  <c r="Q33" i="1"/>
  <c r="G32" i="1"/>
  <c r="H33" i="1"/>
  <c r="P32" i="1"/>
  <c r="F32" i="1"/>
  <c r="O32" i="1"/>
  <c r="C33" i="1" l="1"/>
  <c r="D33" i="1"/>
  <c r="K34" i="1"/>
  <c r="N34" i="1"/>
  <c r="L33" i="1"/>
  <c r="I33" i="1"/>
  <c r="M33" i="1"/>
  <c r="J33" i="1"/>
  <c r="T34" i="1"/>
  <c r="Z34" i="1"/>
  <c r="W34" i="1"/>
  <c r="R33" i="1"/>
  <c r="U33" i="1"/>
  <c r="X33" i="1"/>
  <c r="V33" i="1"/>
  <c r="Y33" i="1"/>
  <c r="S33" i="1"/>
  <c r="F33" i="1"/>
  <c r="Q34" i="1"/>
  <c r="G33" i="1"/>
  <c r="H34" i="1"/>
  <c r="P33" i="1"/>
  <c r="O33" i="1"/>
  <c r="C34" i="1" l="1"/>
  <c r="D34" i="1"/>
  <c r="K35" i="1"/>
  <c r="N35" i="1"/>
  <c r="L34" i="1"/>
  <c r="I34" i="1"/>
  <c r="M34" i="1"/>
  <c r="J34" i="1"/>
  <c r="Z35" i="1"/>
  <c r="T35" i="1"/>
  <c r="W35" i="1"/>
  <c r="U34" i="1"/>
  <c r="X34" i="1"/>
  <c r="R34" i="1"/>
  <c r="V34" i="1"/>
  <c r="S34" i="1"/>
  <c r="Y34" i="1"/>
  <c r="G34" i="1"/>
  <c r="P34" i="1"/>
  <c r="H35" i="1"/>
  <c r="Q35" i="1"/>
  <c r="F34" i="1"/>
  <c r="O34" i="1"/>
  <c r="D35" i="1" l="1"/>
  <c r="C35" i="1"/>
  <c r="K36" i="1"/>
  <c r="N36" i="1"/>
  <c r="M35" i="1"/>
  <c r="J35" i="1"/>
  <c r="L35" i="1"/>
  <c r="I35" i="1"/>
  <c r="R35" i="1"/>
  <c r="X35" i="1"/>
  <c r="U35" i="1"/>
  <c r="V35" i="1"/>
  <c r="Y35" i="1"/>
  <c r="S35" i="1"/>
  <c r="W36" i="1"/>
  <c r="Z36" i="1"/>
  <c r="T36" i="1"/>
  <c r="H36" i="1"/>
  <c r="G35" i="1"/>
  <c r="P35" i="1"/>
  <c r="Q36" i="1"/>
  <c r="F35" i="1"/>
  <c r="O35" i="1"/>
  <c r="D36" i="1" l="1"/>
  <c r="C36" i="1"/>
  <c r="K37" i="1"/>
  <c r="N37" i="1"/>
  <c r="M36" i="1"/>
  <c r="J36" i="1"/>
  <c r="L36" i="1"/>
  <c r="I36" i="1"/>
  <c r="Z37" i="1"/>
  <c r="W37" i="1"/>
  <c r="T37" i="1"/>
  <c r="S36" i="1"/>
  <c r="Y36" i="1"/>
  <c r="V36" i="1"/>
  <c r="X36" i="1"/>
  <c r="U36" i="1"/>
  <c r="R36" i="1"/>
  <c r="H37" i="1"/>
  <c r="F36" i="1"/>
  <c r="O36" i="1"/>
  <c r="Q37" i="1"/>
  <c r="G36" i="1"/>
  <c r="P36" i="1"/>
  <c r="C37" i="1" l="1"/>
  <c r="D37" i="1"/>
  <c r="K38" i="1"/>
  <c r="N38" i="1"/>
  <c r="L37" i="1"/>
  <c r="I37" i="1"/>
  <c r="M37" i="1"/>
  <c r="J37" i="1"/>
  <c r="Z38" i="1"/>
  <c r="T38" i="1"/>
  <c r="W38" i="1"/>
  <c r="R37" i="1"/>
  <c r="X37" i="1"/>
  <c r="U37" i="1"/>
  <c r="V37" i="1"/>
  <c r="Y37" i="1"/>
  <c r="S37" i="1"/>
  <c r="H38" i="1"/>
  <c r="G37" i="1"/>
  <c r="P37" i="1"/>
  <c r="Q38" i="1"/>
  <c r="F37" i="1"/>
  <c r="O37" i="1"/>
  <c r="C38" i="1" l="1"/>
  <c r="D38" i="1"/>
  <c r="L38" i="1"/>
  <c r="I38" i="1"/>
  <c r="M38" i="1"/>
  <c r="J38" i="1"/>
  <c r="K39" i="1"/>
  <c r="N39" i="1"/>
  <c r="X38" i="1"/>
  <c r="U38" i="1"/>
  <c r="R38" i="1"/>
  <c r="S38" i="1"/>
  <c r="Y38" i="1"/>
  <c r="V38" i="1"/>
  <c r="T39" i="1"/>
  <c r="Z39" i="1"/>
  <c r="W39" i="1"/>
  <c r="H39" i="1"/>
  <c r="F38" i="1"/>
  <c r="O38" i="1"/>
  <c r="Q39" i="1"/>
  <c r="G38" i="1"/>
  <c r="P38" i="1"/>
  <c r="D39" i="1" l="1"/>
  <c r="C39" i="1"/>
  <c r="K40" i="1"/>
  <c r="N40" i="1"/>
  <c r="M39" i="1"/>
  <c r="J39" i="1"/>
  <c r="L39" i="1"/>
  <c r="I39" i="1"/>
  <c r="Y39" i="1"/>
  <c r="V39" i="1"/>
  <c r="S39" i="1"/>
  <c r="X39" i="1"/>
  <c r="U39" i="1"/>
  <c r="R39" i="1"/>
  <c r="Z40" i="1"/>
  <c r="T40" i="1"/>
  <c r="W40" i="1"/>
  <c r="H40" i="1"/>
  <c r="G39" i="1"/>
  <c r="P39" i="1"/>
  <c r="Q40" i="1"/>
  <c r="F39" i="1"/>
  <c r="O39" i="1"/>
  <c r="D40" i="1" l="1"/>
  <c r="C40" i="1"/>
  <c r="M40" i="1"/>
  <c r="J40" i="1"/>
  <c r="L40" i="1"/>
  <c r="I40" i="1"/>
  <c r="K41" i="1"/>
  <c r="N41" i="1"/>
  <c r="Y40" i="1"/>
  <c r="S40" i="1"/>
  <c r="V40" i="1"/>
  <c r="X40" i="1"/>
  <c r="R40" i="1"/>
  <c r="U40" i="1"/>
  <c r="Z41" i="1"/>
  <c r="T41" i="1"/>
  <c r="W41" i="1"/>
  <c r="H41" i="1"/>
  <c r="G40" i="1"/>
  <c r="P40" i="1"/>
  <c r="Q41" i="1"/>
  <c r="F40" i="1"/>
  <c r="O40" i="1"/>
  <c r="D41" i="1" l="1"/>
  <c r="C41" i="1"/>
  <c r="K42" i="1"/>
  <c r="N42" i="1"/>
  <c r="M41" i="1"/>
  <c r="J41" i="1"/>
  <c r="L41" i="1"/>
  <c r="I41" i="1"/>
  <c r="T42" i="1"/>
  <c r="Z42" i="1"/>
  <c r="W42" i="1"/>
  <c r="X41" i="1"/>
  <c r="R41" i="1"/>
  <c r="U41" i="1"/>
  <c r="S41" i="1"/>
  <c r="Y41" i="1"/>
  <c r="V41" i="1"/>
  <c r="H42" i="1"/>
  <c r="G41" i="1"/>
  <c r="P41" i="1"/>
  <c r="Q42" i="1"/>
  <c r="F41" i="1"/>
  <c r="O41" i="1"/>
  <c r="C42" i="1" l="1"/>
  <c r="D42" i="1"/>
  <c r="K43" i="1"/>
  <c r="N43" i="1"/>
  <c r="L42" i="1"/>
  <c r="I42" i="1"/>
  <c r="M42" i="1"/>
  <c r="J42" i="1"/>
  <c r="W43" i="1"/>
  <c r="T43" i="1"/>
  <c r="Z43" i="1"/>
  <c r="U42" i="1"/>
  <c r="X42" i="1"/>
  <c r="R42" i="1"/>
  <c r="V42" i="1"/>
  <c r="S42" i="1"/>
  <c r="Y42" i="1"/>
  <c r="H43" i="1"/>
  <c r="F42" i="1"/>
  <c r="O42" i="1"/>
  <c r="Q43" i="1"/>
  <c r="G42" i="1"/>
  <c r="P42" i="1"/>
  <c r="C43" i="1" l="1"/>
  <c r="D43" i="1"/>
  <c r="K44" i="1"/>
  <c r="N44" i="1"/>
  <c r="L43" i="1"/>
  <c r="I43" i="1"/>
  <c r="M43" i="1"/>
  <c r="J43" i="1"/>
  <c r="U43" i="1"/>
  <c r="X43" i="1"/>
  <c r="R43" i="1"/>
  <c r="V43" i="1"/>
  <c r="Y43" i="1"/>
  <c r="S43" i="1"/>
  <c r="W44" i="1"/>
  <c r="T44" i="1"/>
  <c r="Z44" i="1"/>
  <c r="F43" i="1"/>
  <c r="O43" i="1"/>
  <c r="H44" i="1"/>
  <c r="Q44" i="1"/>
  <c r="G43" i="1"/>
  <c r="P43" i="1"/>
  <c r="D44" i="1" l="1"/>
  <c r="C44" i="1"/>
  <c r="K45" i="1"/>
  <c r="N45" i="1"/>
  <c r="M44" i="1"/>
  <c r="J44" i="1"/>
  <c r="L44" i="1"/>
  <c r="I44" i="1"/>
  <c r="S44" i="1"/>
  <c r="V44" i="1"/>
  <c r="Y44" i="1"/>
  <c r="X44" i="1"/>
  <c r="U44" i="1"/>
  <c r="R44" i="1"/>
  <c r="Z45" i="1"/>
  <c r="W45" i="1"/>
  <c r="T45" i="1"/>
  <c r="G44" i="1"/>
  <c r="P44" i="1"/>
  <c r="F44" i="1"/>
  <c r="O44" i="1"/>
  <c r="Q45" i="1"/>
  <c r="H45" i="1"/>
  <c r="D45" i="1" l="1"/>
  <c r="C45" i="1"/>
  <c r="K46" i="1"/>
  <c r="N46" i="1"/>
  <c r="M45" i="1"/>
  <c r="J45" i="1"/>
  <c r="L45" i="1"/>
  <c r="I45" i="1"/>
  <c r="Y45" i="1"/>
  <c r="V45" i="1"/>
  <c r="S45" i="1"/>
  <c r="X45" i="1"/>
  <c r="R45" i="1"/>
  <c r="U45" i="1"/>
  <c r="T46" i="1"/>
  <c r="W46" i="1"/>
  <c r="Z46" i="1"/>
  <c r="G45" i="1"/>
  <c r="P45" i="1"/>
  <c r="F45" i="1"/>
  <c r="O45" i="1"/>
  <c r="Q46" i="1"/>
  <c r="H46" i="1"/>
  <c r="C46" i="1" l="1"/>
  <c r="D46" i="1"/>
  <c r="L46" i="1"/>
  <c r="I46" i="1"/>
  <c r="M46" i="1"/>
  <c r="J46" i="1"/>
  <c r="K47" i="1"/>
  <c r="N47" i="1"/>
  <c r="Y46" i="1"/>
  <c r="S46" i="1"/>
  <c r="V46" i="1"/>
  <c r="R46" i="1"/>
  <c r="X46" i="1"/>
  <c r="U46" i="1"/>
  <c r="W47" i="1"/>
  <c r="T47" i="1"/>
  <c r="Z47" i="1"/>
  <c r="F46" i="1"/>
  <c r="O46" i="1"/>
  <c r="G46" i="1"/>
  <c r="P46" i="1"/>
  <c r="Q47" i="1"/>
  <c r="H47" i="1"/>
  <c r="D47" i="1" l="1"/>
  <c r="C47" i="1"/>
  <c r="K48" i="1"/>
  <c r="N48" i="1"/>
  <c r="M47" i="1"/>
  <c r="J47" i="1"/>
  <c r="L47" i="1"/>
  <c r="I47" i="1"/>
  <c r="T48" i="1"/>
  <c r="Z48" i="1"/>
  <c r="W48" i="1"/>
  <c r="V47" i="1"/>
  <c r="S47" i="1"/>
  <c r="Y47" i="1"/>
  <c r="X47" i="1"/>
  <c r="R47" i="1"/>
  <c r="U47" i="1"/>
  <c r="H48" i="1"/>
  <c r="G47" i="1"/>
  <c r="P47" i="1"/>
  <c r="Q48" i="1"/>
  <c r="F47" i="1"/>
  <c r="O47" i="1"/>
  <c r="D48" i="1" l="1"/>
  <c r="C48" i="1"/>
  <c r="K49" i="1"/>
  <c r="N49" i="1"/>
  <c r="M48" i="1"/>
  <c r="J48" i="1"/>
  <c r="L48" i="1"/>
  <c r="I48" i="1"/>
  <c r="Y48" i="1"/>
  <c r="S48" i="1"/>
  <c r="V48" i="1"/>
  <c r="U48" i="1"/>
  <c r="X48" i="1"/>
  <c r="R48" i="1"/>
  <c r="T49" i="1"/>
  <c r="Z49" i="1"/>
  <c r="W49" i="1"/>
  <c r="H49" i="1"/>
  <c r="G48" i="1"/>
  <c r="P48" i="1"/>
  <c r="Q49" i="1"/>
  <c r="F48" i="1"/>
  <c r="O48" i="1"/>
  <c r="C49" i="1" l="1"/>
  <c r="D49" i="1"/>
  <c r="L49" i="1"/>
  <c r="I49" i="1"/>
  <c r="M49" i="1"/>
  <c r="J49" i="1"/>
  <c r="K50" i="1"/>
  <c r="N50" i="1"/>
  <c r="U49" i="1"/>
  <c r="X49" i="1"/>
  <c r="R49" i="1"/>
  <c r="V49" i="1"/>
  <c r="Y49" i="1"/>
  <c r="S49" i="1"/>
  <c r="T50" i="1"/>
  <c r="W50" i="1"/>
  <c r="Z50" i="1"/>
  <c r="H50" i="1"/>
  <c r="F49" i="1"/>
  <c r="O49" i="1"/>
  <c r="Q50" i="1"/>
  <c r="G49" i="1"/>
  <c r="P49" i="1"/>
  <c r="C50" i="1" l="1"/>
  <c r="D50" i="1"/>
  <c r="K51" i="1"/>
  <c r="N51" i="1"/>
  <c r="M50" i="1"/>
  <c r="J50" i="1"/>
  <c r="L50" i="1"/>
  <c r="I50" i="1"/>
  <c r="U50" i="1"/>
  <c r="R50" i="1"/>
  <c r="X50" i="1"/>
  <c r="Y50" i="1"/>
  <c r="S50" i="1"/>
  <c r="V50" i="1"/>
  <c r="W51" i="1"/>
  <c r="Z51" i="1"/>
  <c r="T51" i="1"/>
  <c r="H51" i="1"/>
  <c r="F50" i="1"/>
  <c r="O50" i="1"/>
  <c r="Q51" i="1"/>
  <c r="G50" i="1"/>
  <c r="P50" i="1"/>
  <c r="D51" i="1" l="1"/>
  <c r="C51" i="1"/>
  <c r="K52" i="1"/>
  <c r="N52" i="1"/>
  <c r="M51" i="1"/>
  <c r="J51" i="1"/>
  <c r="L51" i="1"/>
  <c r="I51" i="1"/>
  <c r="V51" i="1"/>
  <c r="Y51" i="1"/>
  <c r="S51" i="1"/>
  <c r="R51" i="1"/>
  <c r="X51" i="1"/>
  <c r="U51" i="1"/>
  <c r="W52" i="1"/>
  <c r="T52" i="1"/>
  <c r="Z52" i="1"/>
  <c r="H52" i="1"/>
  <c r="G51" i="1"/>
  <c r="P51" i="1"/>
  <c r="Q52" i="1"/>
  <c r="F51" i="1"/>
  <c r="O51" i="1"/>
  <c r="D52" i="1" l="1"/>
  <c r="C52" i="1"/>
  <c r="K53" i="1"/>
  <c r="N53" i="1"/>
  <c r="M52" i="1"/>
  <c r="J52" i="1"/>
  <c r="L52" i="1"/>
  <c r="I52" i="1"/>
  <c r="Y52" i="1"/>
  <c r="V52" i="1"/>
  <c r="S52" i="1"/>
  <c r="R52" i="1"/>
  <c r="X52" i="1"/>
  <c r="U52" i="1"/>
  <c r="T53" i="1"/>
  <c r="W53" i="1"/>
  <c r="Z53" i="1"/>
  <c r="H53" i="1"/>
  <c r="G52" i="1"/>
  <c r="P52" i="1"/>
  <c r="Q53" i="1"/>
  <c r="F52" i="1"/>
  <c r="O52" i="1"/>
  <c r="C53" i="1" l="1"/>
  <c r="D53" i="1"/>
  <c r="L53" i="1"/>
  <c r="I53" i="1"/>
  <c r="M53" i="1"/>
  <c r="J53" i="1"/>
  <c r="K54" i="1"/>
  <c r="N54" i="1"/>
  <c r="R53" i="1"/>
  <c r="U53" i="1"/>
  <c r="X53" i="1"/>
  <c r="Y53" i="1"/>
  <c r="S53" i="1"/>
  <c r="V53" i="1"/>
  <c r="T54" i="1"/>
  <c r="W54" i="1"/>
  <c r="Z54" i="1"/>
  <c r="H54" i="1"/>
  <c r="F53" i="1"/>
  <c r="O53" i="1"/>
  <c r="Q54" i="1"/>
  <c r="G53" i="1"/>
  <c r="P53" i="1"/>
  <c r="C54" i="1" l="1"/>
  <c r="D54" i="1"/>
  <c r="K55" i="1"/>
  <c r="N55" i="1"/>
  <c r="L54" i="1"/>
  <c r="I54" i="1"/>
  <c r="M54" i="1"/>
  <c r="J54" i="1"/>
  <c r="R54" i="1"/>
  <c r="U54" i="1"/>
  <c r="X54" i="1"/>
  <c r="S54" i="1"/>
  <c r="Y54" i="1"/>
  <c r="V54" i="1"/>
  <c r="T55" i="1"/>
  <c r="W55" i="1"/>
  <c r="Z55" i="1"/>
  <c r="H55" i="1"/>
  <c r="F54" i="1"/>
  <c r="O54" i="1"/>
  <c r="Q55" i="1"/>
  <c r="G54" i="1"/>
  <c r="P54" i="1"/>
  <c r="C55" i="1" l="1"/>
  <c r="D55" i="1"/>
  <c r="L55" i="1"/>
  <c r="I55" i="1"/>
  <c r="K56" i="1"/>
  <c r="N56" i="1"/>
  <c r="M55" i="1"/>
  <c r="J55" i="1"/>
  <c r="T56" i="1"/>
  <c r="Z56" i="1"/>
  <c r="W56" i="1"/>
  <c r="Y55" i="1"/>
  <c r="V55" i="1"/>
  <c r="S55" i="1"/>
  <c r="R55" i="1"/>
  <c r="X55" i="1"/>
  <c r="U55" i="1"/>
  <c r="O55" i="1"/>
  <c r="P55" i="1"/>
  <c r="G55" i="1"/>
  <c r="F55" i="1"/>
  <c r="Q56" i="1"/>
  <c r="H56" i="1"/>
  <c r="C56" i="1" l="1"/>
  <c r="D56" i="1"/>
  <c r="L56" i="1"/>
  <c r="I56" i="1"/>
  <c r="M56" i="1"/>
  <c r="J56" i="1"/>
  <c r="K57" i="1"/>
  <c r="N57" i="1"/>
  <c r="R56" i="1"/>
  <c r="X56" i="1"/>
  <c r="U56" i="1"/>
  <c r="V56" i="1"/>
  <c r="Y56" i="1"/>
  <c r="S56" i="1"/>
  <c r="W57" i="1"/>
  <c r="T57" i="1"/>
  <c r="Z57" i="1"/>
  <c r="H57" i="1"/>
  <c r="F56" i="1"/>
  <c r="O56" i="1"/>
  <c r="Q57" i="1"/>
  <c r="P56" i="1"/>
  <c r="G56" i="1"/>
  <c r="C57" i="1" l="1"/>
  <c r="D57" i="1"/>
  <c r="L57" i="1"/>
  <c r="I57" i="1"/>
  <c r="K58" i="1"/>
  <c r="N58" i="1"/>
  <c r="M57" i="1"/>
  <c r="J57" i="1"/>
  <c r="S57" i="1"/>
  <c r="V57" i="1"/>
  <c r="Y57" i="1"/>
  <c r="T58" i="1"/>
  <c r="Z58" i="1"/>
  <c r="W58" i="1"/>
  <c r="X57" i="1"/>
  <c r="U57" i="1"/>
  <c r="R57" i="1"/>
  <c r="O57" i="1"/>
  <c r="Q58" i="1"/>
  <c r="H58" i="1"/>
  <c r="G57" i="1"/>
  <c r="F57" i="1"/>
  <c r="P57" i="1"/>
  <c r="D58" i="1" l="1"/>
  <c r="C58" i="1"/>
  <c r="K59" i="1"/>
  <c r="N59" i="1"/>
  <c r="L58" i="1"/>
  <c r="I58" i="1"/>
  <c r="M58" i="1"/>
  <c r="J58" i="1"/>
  <c r="U58" i="1"/>
  <c r="R58" i="1"/>
  <c r="X58" i="1"/>
  <c r="W59" i="1"/>
  <c r="T59" i="1"/>
  <c r="Z59" i="1"/>
  <c r="S58" i="1"/>
  <c r="V58" i="1"/>
  <c r="Y58" i="1"/>
  <c r="G58" i="1"/>
  <c r="F58" i="1"/>
  <c r="O58" i="1"/>
  <c r="P58" i="1"/>
  <c r="Q59" i="1"/>
  <c r="H59" i="1"/>
  <c r="D59" i="1" l="1"/>
  <c r="C59" i="1"/>
  <c r="M59" i="1"/>
  <c r="J59" i="1"/>
  <c r="K60" i="1"/>
  <c r="N60" i="1"/>
  <c r="L59" i="1"/>
  <c r="I59" i="1"/>
  <c r="Y59" i="1"/>
  <c r="S59" i="1"/>
  <c r="V59" i="1"/>
  <c r="W60" i="1"/>
  <c r="Z60" i="1"/>
  <c r="T60" i="1"/>
  <c r="U59" i="1"/>
  <c r="X59" i="1"/>
  <c r="R59" i="1"/>
  <c r="G59" i="1"/>
  <c r="Q60" i="1"/>
  <c r="H60" i="1"/>
  <c r="P59" i="1"/>
  <c r="F59" i="1"/>
  <c r="O59" i="1"/>
  <c r="C60" i="1" l="1"/>
  <c r="D60" i="1"/>
  <c r="L60" i="1"/>
  <c r="I60" i="1"/>
  <c r="M60" i="1"/>
  <c r="J60" i="1"/>
  <c r="K61" i="1"/>
  <c r="N61" i="1"/>
  <c r="R60" i="1"/>
  <c r="U60" i="1"/>
  <c r="X60" i="1"/>
  <c r="Y60" i="1"/>
  <c r="V60" i="1"/>
  <c r="S60" i="1"/>
  <c r="W61" i="1"/>
  <c r="Z61" i="1"/>
  <c r="T61" i="1"/>
  <c r="H61" i="1"/>
  <c r="F60" i="1"/>
  <c r="O60" i="1"/>
  <c r="Q61" i="1"/>
  <c r="P60" i="1"/>
  <c r="G60" i="1"/>
  <c r="D61" i="1" l="1"/>
  <c r="C61" i="1"/>
  <c r="M61" i="1"/>
  <c r="J61" i="1"/>
  <c r="K62" i="1"/>
  <c r="N62" i="1"/>
  <c r="L61" i="1"/>
  <c r="I61" i="1"/>
  <c r="T62" i="1"/>
  <c r="W62" i="1"/>
  <c r="Z62" i="1"/>
  <c r="R61" i="1"/>
  <c r="U61" i="1"/>
  <c r="X61" i="1"/>
  <c r="V61" i="1"/>
  <c r="S61" i="1"/>
  <c r="Y61" i="1"/>
  <c r="G61" i="1"/>
  <c r="F61" i="1"/>
  <c r="O61" i="1"/>
  <c r="P61" i="1"/>
  <c r="Q62" i="1"/>
  <c r="H62" i="1"/>
  <c r="C62" i="1" l="1"/>
  <c r="D62" i="1"/>
  <c r="L62" i="1"/>
  <c r="I62" i="1"/>
  <c r="K63" i="1"/>
  <c r="N63" i="1"/>
  <c r="M62" i="1"/>
  <c r="J62" i="1"/>
  <c r="T63" i="1"/>
  <c r="W63" i="1"/>
  <c r="Z63" i="1"/>
  <c r="Y62" i="1"/>
  <c r="V62" i="1"/>
  <c r="S62" i="1"/>
  <c r="R62" i="1"/>
  <c r="U62" i="1"/>
  <c r="X62" i="1"/>
  <c r="O62" i="1"/>
  <c r="P62" i="1"/>
  <c r="G62" i="1"/>
  <c r="F62" i="1"/>
  <c r="Q63" i="1"/>
  <c r="H63" i="1"/>
  <c r="D63" i="1" l="1"/>
  <c r="C63" i="1"/>
  <c r="M63" i="1"/>
  <c r="J63" i="1"/>
  <c r="K64" i="1"/>
  <c r="N64" i="1"/>
  <c r="L63" i="1"/>
  <c r="I63" i="1"/>
  <c r="Z64" i="1"/>
  <c r="T64" i="1"/>
  <c r="W64" i="1"/>
  <c r="R63" i="1"/>
  <c r="U63" i="1"/>
  <c r="X63" i="1"/>
  <c r="Y63" i="1"/>
  <c r="S63" i="1"/>
  <c r="V63" i="1"/>
  <c r="G63" i="1"/>
  <c r="F63" i="1"/>
  <c r="O63" i="1"/>
  <c r="P63" i="1"/>
  <c r="Q64" i="1"/>
  <c r="H64" i="1"/>
  <c r="C64" i="1" l="1"/>
  <c r="D64" i="1"/>
  <c r="K65" i="1"/>
  <c r="N65" i="1"/>
  <c r="L64" i="1"/>
  <c r="I64" i="1"/>
  <c r="M64" i="1"/>
  <c r="J64" i="1"/>
  <c r="Z65" i="1"/>
  <c r="W65" i="1"/>
  <c r="T65" i="1"/>
  <c r="X64" i="1"/>
  <c r="R64" i="1"/>
  <c r="U64" i="1"/>
  <c r="Y64" i="1"/>
  <c r="V64" i="1"/>
  <c r="S64" i="1"/>
  <c r="H65" i="1"/>
  <c r="F64" i="1"/>
  <c r="O64" i="1"/>
  <c r="Q65" i="1"/>
  <c r="P64" i="1"/>
  <c r="G64" i="1"/>
  <c r="D65" i="1" l="1"/>
  <c r="C65" i="1"/>
  <c r="M65" i="1"/>
  <c r="J65" i="1"/>
  <c r="K66" i="1"/>
  <c r="N66" i="1"/>
  <c r="L65" i="1"/>
  <c r="I65" i="1"/>
  <c r="V65" i="1"/>
  <c r="S65" i="1"/>
  <c r="Y65" i="1"/>
  <c r="Z66" i="1"/>
  <c r="T66" i="1"/>
  <c r="W66" i="1"/>
  <c r="X65" i="1"/>
  <c r="U65" i="1"/>
  <c r="R65" i="1"/>
  <c r="G65" i="1"/>
  <c r="Q66" i="1"/>
  <c r="H66" i="1"/>
  <c r="P65" i="1"/>
  <c r="F65" i="1"/>
  <c r="O65" i="1"/>
  <c r="C66" i="1" l="1"/>
  <c r="D66" i="1"/>
  <c r="L66" i="1"/>
  <c r="I66" i="1"/>
  <c r="K67" i="1"/>
  <c r="N67" i="1"/>
  <c r="M66" i="1"/>
  <c r="J66" i="1"/>
  <c r="S66" i="1"/>
  <c r="Y66" i="1"/>
  <c r="V66" i="1"/>
  <c r="W67" i="1"/>
  <c r="T67" i="1"/>
  <c r="Z67" i="1"/>
  <c r="R66" i="1"/>
  <c r="X66" i="1"/>
  <c r="U66" i="1"/>
  <c r="O66" i="1"/>
  <c r="Q67" i="1"/>
  <c r="H67" i="1"/>
  <c r="F66" i="1"/>
  <c r="P66" i="1"/>
  <c r="G66" i="1"/>
  <c r="D67" i="1" l="1"/>
  <c r="C67" i="1"/>
  <c r="M67" i="1"/>
  <c r="J67" i="1"/>
  <c r="K68" i="1"/>
  <c r="N68" i="1"/>
  <c r="L67" i="1"/>
  <c r="I67" i="1"/>
  <c r="T68" i="1"/>
  <c r="Z68" i="1"/>
  <c r="W68" i="1"/>
  <c r="R67" i="1"/>
  <c r="U67" i="1"/>
  <c r="X67" i="1"/>
  <c r="S67" i="1"/>
  <c r="Y67" i="1"/>
  <c r="V67" i="1"/>
  <c r="G67" i="1"/>
  <c r="F67" i="1"/>
  <c r="O67" i="1"/>
  <c r="P67" i="1"/>
  <c r="Q68" i="1"/>
  <c r="H68" i="1"/>
  <c r="C68" i="1" l="1"/>
  <c r="D68" i="1"/>
  <c r="K69" i="1"/>
  <c r="N69" i="1"/>
  <c r="L68" i="1"/>
  <c r="I68" i="1"/>
  <c r="M68" i="1"/>
  <c r="J68" i="1"/>
  <c r="X68" i="1"/>
  <c r="U68" i="1"/>
  <c r="R68" i="1"/>
  <c r="V68" i="1"/>
  <c r="S68" i="1"/>
  <c r="Y68" i="1"/>
  <c r="Z69" i="1"/>
  <c r="W69" i="1"/>
  <c r="T69" i="1"/>
  <c r="H69" i="1"/>
  <c r="P68" i="1"/>
  <c r="G68" i="1"/>
  <c r="Q69" i="1"/>
  <c r="F68" i="1"/>
  <c r="O68" i="1"/>
  <c r="C69" i="1" l="1"/>
  <c r="D69" i="1"/>
  <c r="K70" i="1"/>
  <c r="N70" i="1"/>
  <c r="L69" i="1"/>
  <c r="I69" i="1"/>
  <c r="M69" i="1"/>
  <c r="J69" i="1"/>
  <c r="R69" i="1"/>
  <c r="X69" i="1"/>
  <c r="U69" i="1"/>
  <c r="Y69" i="1"/>
  <c r="V69" i="1"/>
  <c r="S69" i="1"/>
  <c r="T70" i="1"/>
  <c r="Z70" i="1"/>
  <c r="W70" i="1"/>
  <c r="H70" i="1"/>
  <c r="F69" i="1"/>
  <c r="O69" i="1"/>
  <c r="Q70" i="1"/>
  <c r="P69" i="1"/>
  <c r="G69" i="1"/>
  <c r="D70" i="1" l="1"/>
  <c r="C70" i="1"/>
  <c r="K71" i="1"/>
  <c r="N71" i="1"/>
  <c r="M70" i="1"/>
  <c r="J70" i="1"/>
  <c r="L70" i="1"/>
  <c r="I70" i="1"/>
  <c r="W71" i="1"/>
  <c r="T71" i="1"/>
  <c r="Z71" i="1"/>
  <c r="V70" i="1"/>
  <c r="Y70" i="1"/>
  <c r="S70" i="1"/>
  <c r="X70" i="1"/>
  <c r="R70" i="1"/>
  <c r="U70" i="1"/>
  <c r="G70" i="1"/>
  <c r="F70" i="1"/>
  <c r="O70" i="1"/>
  <c r="P70" i="1"/>
  <c r="Q71" i="1"/>
  <c r="H71" i="1"/>
  <c r="C71" i="1" l="1"/>
  <c r="D71" i="1"/>
  <c r="K72" i="1"/>
  <c r="N72" i="1"/>
  <c r="L71" i="1"/>
  <c r="I71" i="1"/>
  <c r="M71" i="1"/>
  <c r="J71" i="1"/>
  <c r="R71" i="1"/>
  <c r="X71" i="1"/>
  <c r="U71" i="1"/>
  <c r="Z72" i="1"/>
  <c r="W72" i="1"/>
  <c r="T72" i="1"/>
  <c r="S71" i="1"/>
  <c r="V71" i="1"/>
  <c r="Y71" i="1"/>
  <c r="H72" i="1"/>
  <c r="F71" i="1"/>
  <c r="O71" i="1"/>
  <c r="Q72" i="1"/>
  <c r="P71" i="1"/>
  <c r="G71" i="1"/>
  <c r="D72" i="1" l="1"/>
  <c r="C72" i="1"/>
  <c r="K73" i="1"/>
  <c r="N73" i="1"/>
  <c r="M72" i="1"/>
  <c r="J72" i="1"/>
  <c r="L72" i="1"/>
  <c r="I72" i="1"/>
  <c r="Z73" i="1"/>
  <c r="T73" i="1"/>
  <c r="W73" i="1"/>
  <c r="Y72" i="1"/>
  <c r="S72" i="1"/>
  <c r="V72" i="1"/>
  <c r="X72" i="1"/>
  <c r="R72" i="1"/>
  <c r="U72" i="1"/>
  <c r="H73" i="1"/>
  <c r="P72" i="1"/>
  <c r="G72" i="1"/>
  <c r="Q73" i="1"/>
  <c r="F72" i="1"/>
  <c r="O72" i="1"/>
  <c r="C73" i="1" l="1"/>
  <c r="D73" i="1"/>
  <c r="L73" i="1"/>
  <c r="I73" i="1"/>
  <c r="M73" i="1"/>
  <c r="J73" i="1"/>
  <c r="K74" i="1"/>
  <c r="N74" i="1"/>
  <c r="R73" i="1"/>
  <c r="U73" i="1"/>
  <c r="X73" i="1"/>
  <c r="Z74" i="1"/>
  <c r="T74" i="1"/>
  <c r="W74" i="1"/>
  <c r="S73" i="1"/>
  <c r="Y73" i="1"/>
  <c r="V73" i="1"/>
  <c r="H74" i="1"/>
  <c r="F73" i="1"/>
  <c r="O73" i="1"/>
  <c r="Q74" i="1"/>
  <c r="P73" i="1"/>
  <c r="G73" i="1"/>
  <c r="D74" i="1" l="1"/>
  <c r="C74" i="1"/>
  <c r="M74" i="1"/>
  <c r="J74" i="1"/>
  <c r="L74" i="1"/>
  <c r="I74" i="1"/>
  <c r="K75" i="1"/>
  <c r="N75" i="1"/>
  <c r="V74" i="1"/>
  <c r="Y74" i="1"/>
  <c r="S74" i="1"/>
  <c r="T75" i="1"/>
  <c r="Z75" i="1"/>
  <c r="W75" i="1"/>
  <c r="U74" i="1"/>
  <c r="X74" i="1"/>
  <c r="R74" i="1"/>
  <c r="H75" i="1"/>
  <c r="P74" i="1"/>
  <c r="G74" i="1"/>
  <c r="Q75" i="1"/>
  <c r="F74" i="1"/>
  <c r="O74" i="1"/>
  <c r="C75" i="1" l="1"/>
  <c r="D75" i="1"/>
  <c r="L75" i="1"/>
  <c r="I75" i="1"/>
  <c r="K76" i="1"/>
  <c r="N76" i="1"/>
  <c r="M75" i="1"/>
  <c r="J75" i="1"/>
  <c r="Z76" i="1"/>
  <c r="T76" i="1"/>
  <c r="W76" i="1"/>
  <c r="S75" i="1"/>
  <c r="V75" i="1"/>
  <c r="Y75" i="1"/>
  <c r="R75" i="1"/>
  <c r="U75" i="1"/>
  <c r="X75" i="1"/>
  <c r="O75" i="1"/>
  <c r="P75" i="1"/>
  <c r="G75" i="1"/>
  <c r="F75" i="1"/>
  <c r="Q76" i="1"/>
  <c r="H76" i="1"/>
  <c r="C76" i="1" l="1"/>
  <c r="D76" i="1"/>
  <c r="M76" i="1"/>
  <c r="J76" i="1"/>
  <c r="K77" i="1"/>
  <c r="N77" i="1"/>
  <c r="L76" i="1"/>
  <c r="I76" i="1"/>
  <c r="S76" i="1"/>
  <c r="V76" i="1"/>
  <c r="Y76" i="1"/>
  <c r="W77" i="1"/>
  <c r="Z77" i="1"/>
  <c r="T77" i="1"/>
  <c r="X76" i="1"/>
  <c r="R76" i="1"/>
  <c r="U76" i="1"/>
  <c r="O76" i="1"/>
  <c r="Q77" i="1"/>
  <c r="H77" i="1"/>
  <c r="F76" i="1"/>
  <c r="P76" i="1"/>
  <c r="G76" i="1"/>
  <c r="C77" i="1" l="1"/>
  <c r="D77" i="1"/>
  <c r="L77" i="1"/>
  <c r="I77" i="1"/>
  <c r="K78" i="1"/>
  <c r="N78" i="1"/>
  <c r="M77" i="1"/>
  <c r="J77" i="1"/>
  <c r="Z78" i="1"/>
  <c r="W78" i="1"/>
  <c r="T78" i="1"/>
  <c r="X77" i="1"/>
  <c r="R77" i="1"/>
  <c r="U77" i="1"/>
  <c r="V77" i="1"/>
  <c r="Y77" i="1"/>
  <c r="S77" i="1"/>
  <c r="F77" i="1"/>
  <c r="Q78" i="1"/>
  <c r="O77" i="1"/>
  <c r="H78" i="1"/>
  <c r="P77" i="1"/>
  <c r="G77" i="1"/>
  <c r="C78" i="1" l="1"/>
  <c r="D78" i="1"/>
  <c r="L78" i="1"/>
  <c r="I78" i="1"/>
  <c r="M78" i="1"/>
  <c r="J78" i="1"/>
  <c r="K79" i="1"/>
  <c r="N79" i="1"/>
  <c r="V78" i="1"/>
  <c r="Y78" i="1"/>
  <c r="S78" i="1"/>
  <c r="R78" i="1"/>
  <c r="X78" i="1"/>
  <c r="U78" i="1"/>
  <c r="W79" i="1"/>
  <c r="Z79" i="1"/>
  <c r="T79" i="1"/>
  <c r="Q79" i="1"/>
  <c r="H79" i="1"/>
  <c r="F78" i="1"/>
  <c r="P78" i="1"/>
  <c r="O78" i="1"/>
  <c r="G78" i="1"/>
  <c r="C79" i="1" l="1"/>
  <c r="D79" i="1"/>
  <c r="L79" i="1"/>
  <c r="I79" i="1"/>
  <c r="K80" i="1"/>
  <c r="N80" i="1"/>
  <c r="M79" i="1"/>
  <c r="J79" i="1"/>
  <c r="U79" i="1"/>
  <c r="R79" i="1"/>
  <c r="X79" i="1"/>
  <c r="T80" i="1"/>
  <c r="W80" i="1"/>
  <c r="Z80" i="1"/>
  <c r="S79" i="1"/>
  <c r="Y79" i="1"/>
  <c r="V79" i="1"/>
  <c r="P79" i="1"/>
  <c r="G79" i="1"/>
  <c r="O79" i="1"/>
  <c r="F79" i="1"/>
  <c r="Q80" i="1"/>
  <c r="H80" i="1"/>
  <c r="C80" i="1" l="1"/>
  <c r="D80" i="1"/>
  <c r="L80" i="1"/>
  <c r="I80" i="1"/>
  <c r="M80" i="1"/>
  <c r="J80" i="1"/>
  <c r="Y80" i="1"/>
  <c r="V80" i="1"/>
  <c r="S80" i="1"/>
  <c r="U80" i="1"/>
  <c r="X80" i="1"/>
  <c r="R80" i="1"/>
  <c r="P80" i="1"/>
  <c r="G80" i="1"/>
  <c r="F80" i="1"/>
  <c r="O80" i="1"/>
</calcChain>
</file>

<file path=xl/sharedStrings.xml><?xml version="1.0" encoding="utf-8"?>
<sst xmlns="http://schemas.openxmlformats.org/spreadsheetml/2006/main" count="155" uniqueCount="28">
  <si>
    <t>baseReward</t>
  </si>
  <si>
    <t>medianBlockSize</t>
  </si>
  <si>
    <t>XMRUSD</t>
  </si>
  <si>
    <t>T0</t>
  </si>
  <si>
    <t>b</t>
  </si>
  <si>
    <t>W0</t>
  </si>
  <si>
    <t>singleTxExpansionFactor</t>
  </si>
  <si>
    <t>XMR</t>
  </si>
  <si>
    <t>-</t>
  </si>
  <si>
    <t>Median Block Size</t>
  </si>
  <si>
    <t>Linear Price</t>
  </si>
  <si>
    <t>Square Price</t>
  </si>
  <si>
    <t>Flat Price</t>
  </si>
  <si>
    <t>New</t>
  </si>
  <si>
    <t>Old</t>
  </si>
  <si>
    <t>Linear Market Price</t>
  </si>
  <si>
    <t>Square Market Price</t>
  </si>
  <si>
    <t>Flat Market Price</t>
  </si>
  <si>
    <t>Alt</t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</si>
  <si>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fee such that a single TX block size increase is neutral to miner earnings, or that a 1.2% increase is neutral - whichever is greater</t>
    </r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</si>
  <si>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fee such that a single TX block size increase is neutral to miner earnings</t>
    </r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</si>
  <si>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fee such that a single TX block size increase is neutral to miner earnings, or that a 1.2% increase is neutral - whichever is greater
*original min. fee was only the 1.2% increase</t>
    </r>
  </si>
  <si>
    <t>Fee / TX</t>
  </si>
  <si>
    <t>Total Fee</t>
  </si>
  <si>
    <t>Old-feasible</t>
  </si>
  <si>
    <t>Old-ideal</t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</si>
  <si>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fee such that a 1.2% block size expansion is neutral to miner earnings (current min. fee).</t>
    </r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</si>
  <si>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fee such that a 1.2% block size expansion is neutral to miner earnings (current min. fee) or such that an expansion to accommodate a single typical TX size (13kB) is neutral to miner earnings, whichever is greater.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</si>
</sst>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2" fontId="0" fillId="0" borderId="0" xfId="0" applyNumberFormat="1"/>
    <xf numFmtId="0" fontId="0" fillId="0" borderId="0" xfId="0" applyNumberFormat="1"/>
    <xf numFmtId="1" fontId="0" fillId="0" borderId="0" xfId="0" applyNumberFormat="1"/>
    <xf numFmtId="3" fontId="0" fillId="0" borderId="0" xfId="0" applyNumberFormat="1"/>
    <xf numFmtId="0" fontId="0" fillId="0" borderId="0" xfId="0" applyNumberFormat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Block Size</a:t>
            </a:r>
            <a:r>
              <a:rPr lang="en-US" baseline="0"/>
              <a:t> Sustainability Cost</a:t>
            </a:r>
            <a:endParaRPr lang="en-US"/>
          </a:p>
          <a:p>
            <a:pPr>
              <a:defRPr/>
            </a:pPr>
            <a:r>
              <a:rPr lang="en-US" sz="1200"/>
              <a:t>(</a:t>
            </a:r>
            <a:r>
              <a:rPr lang="en-US" sz="1200" baseline="0"/>
              <a:t>old penalty, old min. fee*)</a:t>
            </a:r>
            <a:endParaRPr lang="en-US" sz="1200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Sheet1!$V$14</c:f>
              <c:strCache>
                <c:ptCount val="1"/>
                <c:pt idx="0">
                  <c:v>Square Market Price</c:v>
                </c:pt>
              </c:strCache>
            </c:strRef>
          </c:tx>
          <c:marker>
            <c:symbol val="none"/>
          </c:marker>
          <c:xVal>
            <c:numRef>
              <c:f>Sheet1!$B$15:$B$239</c:f>
              <c:numCache>
                <c:formatCode>#,##0</c:formatCode>
                <c:ptCount val="225"/>
                <c:pt idx="0">
                  <c:v>60000</c:v>
                </c:pt>
                <c:pt idx="1">
                  <c:v>66000</c:v>
                </c:pt>
                <c:pt idx="2">
                  <c:v>72600</c:v>
                </c:pt>
                <c:pt idx="3">
                  <c:v>79860</c:v>
                </c:pt>
                <c:pt idx="4">
                  <c:v>87846</c:v>
                </c:pt>
                <c:pt idx="5">
                  <c:v>96630.6</c:v>
                </c:pt>
                <c:pt idx="6">
                  <c:v>106293.66000000002</c:v>
                </c:pt>
                <c:pt idx="7">
                  <c:v>116923.02600000003</c:v>
                </c:pt>
                <c:pt idx="8">
                  <c:v>128615.32860000004</c:v>
                </c:pt>
                <c:pt idx="9">
                  <c:v>141476.86146000004</c:v>
                </c:pt>
                <c:pt idx="10">
                  <c:v>155624.54760600007</c:v>
                </c:pt>
                <c:pt idx="11">
                  <c:v>171187.00236660009</c:v>
                </c:pt>
                <c:pt idx="12">
                  <c:v>188305.70260326011</c:v>
                </c:pt>
                <c:pt idx="13">
                  <c:v>207136.27286358614</c:v>
                </c:pt>
                <c:pt idx="14">
                  <c:v>227849.90014994476</c:v>
                </c:pt>
                <c:pt idx="15">
                  <c:v>250634.89016493925</c:v>
                </c:pt>
                <c:pt idx="16">
                  <c:v>275698.37918143318</c:v>
                </c:pt>
                <c:pt idx="17">
                  <c:v>303268.21709957655</c:v>
                </c:pt>
                <c:pt idx="18">
                  <c:v>333595.03880953422</c:v>
                </c:pt>
                <c:pt idx="19">
                  <c:v>366954.54269048769</c:v>
                </c:pt>
                <c:pt idx="20">
                  <c:v>403649.99695953651</c:v>
                </c:pt>
                <c:pt idx="21">
                  <c:v>444014.99665549019</c:v>
                </c:pt>
                <c:pt idx="22">
                  <c:v>488416.49632103927</c:v>
                </c:pt>
                <c:pt idx="23">
                  <c:v>537258.14595314325</c:v>
                </c:pt>
                <c:pt idx="24">
                  <c:v>590983.96054845757</c:v>
                </c:pt>
                <c:pt idx="25">
                  <c:v>650082.35660330334</c:v>
                </c:pt>
                <c:pt idx="26">
                  <c:v>715090.59226363373</c:v>
                </c:pt>
                <c:pt idx="27">
                  <c:v>786599.65148999717</c:v>
                </c:pt>
                <c:pt idx="28">
                  <c:v>865259.61663899699</c:v>
                </c:pt>
                <c:pt idx="29">
                  <c:v>951785.57830289681</c:v>
                </c:pt>
                <c:pt idx="30">
                  <c:v>1083333.3333333323</c:v>
                </c:pt>
                <c:pt idx="31">
                  <c:v>1191666.6666666656</c:v>
                </c:pt>
                <c:pt idx="32">
                  <c:v>1310833.3333333323</c:v>
                </c:pt>
                <c:pt idx="33">
                  <c:v>1441916.6666666656</c:v>
                </c:pt>
                <c:pt idx="34">
                  <c:v>1586108.3333333323</c:v>
                </c:pt>
                <c:pt idx="35">
                  <c:v>1744719.1666666658</c:v>
                </c:pt>
                <c:pt idx="36">
                  <c:v>1919191.0833333326</c:v>
                </c:pt>
                <c:pt idx="37">
                  <c:v>2111110.191666666</c:v>
                </c:pt>
                <c:pt idx="38">
                  <c:v>2322221.210833333</c:v>
                </c:pt>
                <c:pt idx="39">
                  <c:v>2554443.3319166666</c:v>
                </c:pt>
                <c:pt idx="40">
                  <c:v>2809887.6651083333</c:v>
                </c:pt>
                <c:pt idx="41">
                  <c:v>3090876.4316191669</c:v>
                </c:pt>
                <c:pt idx="42">
                  <c:v>3399964.074781084</c:v>
                </c:pt>
                <c:pt idx="43">
                  <c:v>3739960.4822591925</c:v>
                </c:pt>
                <c:pt idx="44">
                  <c:v>4113956.5304851122</c:v>
                </c:pt>
                <c:pt idx="45">
                  <c:v>4525352.1835336238</c:v>
                </c:pt>
                <c:pt idx="46">
                  <c:v>4977887.4018869866</c:v>
                </c:pt>
                <c:pt idx="47">
                  <c:v>5475676.1420756858</c:v>
                </c:pt>
                <c:pt idx="48">
                  <c:v>6023243.7562832553</c:v>
                </c:pt>
                <c:pt idx="49">
                  <c:v>6625568.1319115814</c:v>
                </c:pt>
                <c:pt idx="50">
                  <c:v>7288124.9451027401</c:v>
                </c:pt>
                <c:pt idx="51">
                  <c:v>8016937.4396130145</c:v>
                </c:pt>
                <c:pt idx="52">
                  <c:v>8818631.183574317</c:v>
                </c:pt>
                <c:pt idx="53">
                  <c:v>9700494.30193175</c:v>
                </c:pt>
                <c:pt idx="54">
                  <c:v>10670543.732124927</c:v>
                </c:pt>
                <c:pt idx="55">
                  <c:v>11737598.10533742</c:v>
                </c:pt>
                <c:pt idx="56">
                  <c:v>12911357.915871164</c:v>
                </c:pt>
                <c:pt idx="57">
                  <c:v>14202493.707458282</c:v>
                </c:pt>
                <c:pt idx="58">
                  <c:v>15622743.078204112</c:v>
                </c:pt>
                <c:pt idx="59">
                  <c:v>17185017.386024524</c:v>
                </c:pt>
                <c:pt idx="60">
                  <c:v>18903519.124626979</c:v>
                </c:pt>
                <c:pt idx="61">
                  <c:v>20793871.037089679</c:v>
                </c:pt>
                <c:pt idx="62">
                  <c:v>22873258.140798651</c:v>
                </c:pt>
                <c:pt idx="63">
                  <c:v>25160583.954878516</c:v>
                </c:pt>
                <c:pt idx="64">
                  <c:v>27676642.350366369</c:v>
                </c:pt>
                <c:pt idx="65">
                  <c:v>30444306.585403007</c:v>
                </c:pt>
              </c:numCache>
            </c:numRef>
          </c:xVal>
          <c:yVal>
            <c:numRef>
              <c:f>Sheet1!$V$15:$V$239</c:f>
              <c:numCache>
                <c:formatCode>General</c:formatCode>
                <c:ptCount val="225"/>
                <c:pt idx="0">
                  <c:v>23.941666666666677</c:v>
                </c:pt>
                <c:pt idx="1">
                  <c:v>26.335833333333341</c:v>
                </c:pt>
                <c:pt idx="2">
                  <c:v>28.96941666666666</c:v>
                </c:pt>
                <c:pt idx="3">
                  <c:v>31.866358333333338</c:v>
                </c:pt>
                <c:pt idx="4">
                  <c:v>35.05299416666665</c:v>
                </c:pt>
                <c:pt idx="5">
                  <c:v>38.558293583333352</c:v>
                </c:pt>
                <c:pt idx="6">
                  <c:v>42.414122941666669</c:v>
                </c:pt>
                <c:pt idx="7">
                  <c:v>46.655535235833376</c:v>
                </c:pt>
                <c:pt idx="8">
                  <c:v>51.321088759416732</c:v>
                </c:pt>
                <c:pt idx="9">
                  <c:v>56.453197635358286</c:v>
                </c:pt>
                <c:pt idx="10">
                  <c:v>62.098517398894195</c:v>
                </c:pt>
                <c:pt idx="11">
                  <c:v>68.308369138783632</c:v>
                </c:pt>
                <c:pt idx="12">
                  <c:v>75.139206052661976</c:v>
                </c:pt>
                <c:pt idx="13">
                  <c:v>82.653126657928141</c:v>
                </c:pt>
                <c:pt idx="14">
                  <c:v>90.918439323720975</c:v>
                </c:pt>
                <c:pt idx="15">
                  <c:v>100.0102832560932</c:v>
                </c:pt>
                <c:pt idx="16">
                  <c:v>110.01131158170249</c:v>
                </c:pt>
                <c:pt idx="17">
                  <c:v>121.01244273987272</c:v>
                </c:pt>
                <c:pt idx="18">
                  <c:v>133.11368701386021</c:v>
                </c:pt>
                <c:pt idx="19">
                  <c:v>146.42505571524569</c:v>
                </c:pt>
                <c:pt idx="20">
                  <c:v>161.06756128677009</c:v>
                </c:pt>
                <c:pt idx="21">
                  <c:v>177.17431741544777</c:v>
                </c:pt>
                <c:pt idx="22">
                  <c:v>194.89174915699212</c:v>
                </c:pt>
                <c:pt idx="23">
                  <c:v>214.38092407269119</c:v>
                </c:pt>
                <c:pt idx="24">
                  <c:v>235.8190164799619</c:v>
                </c:pt>
                <c:pt idx="25">
                  <c:v>259.40091812795805</c:v>
                </c:pt>
                <c:pt idx="26">
                  <c:v>285.34100994075169</c:v>
                </c:pt>
                <c:pt idx="27">
                  <c:v>313.87511093482652</c:v>
                </c:pt>
                <c:pt idx="28">
                  <c:v>345.26262202831248</c:v>
                </c:pt>
                <c:pt idx="29">
                  <c:v>379.78888423114438</c:v>
                </c:pt>
                <c:pt idx="30">
                  <c:v>432.28009259259221</c:v>
                </c:pt>
                <c:pt idx="31">
                  <c:v>523.05891203703652</c:v>
                </c:pt>
                <c:pt idx="32">
                  <c:v>632.90128356481421</c:v>
                </c:pt>
                <c:pt idx="33">
                  <c:v>765.81055311342561</c:v>
                </c:pt>
                <c:pt idx="34">
                  <c:v>926.630769267245</c:v>
                </c:pt>
                <c:pt idx="35">
                  <c:v>1121.2232308133666</c:v>
                </c:pt>
                <c:pt idx="36">
                  <c:v>1356.680109284174</c:v>
                </c:pt>
                <c:pt idx="37">
                  <c:v>1641.5829322338507</c:v>
                </c:pt>
                <c:pt idx="38">
                  <c:v>1986.31534800296</c:v>
                </c:pt>
                <c:pt idx="39">
                  <c:v>2403.4415710835829</c:v>
                </c:pt>
                <c:pt idx="40">
                  <c:v>2908.1643010111347</c:v>
                </c:pt>
                <c:pt idx="41">
                  <c:v>3518.8788042234737</c:v>
                </c:pt>
                <c:pt idx="42">
                  <c:v>4257.8433531104047</c:v>
                </c:pt>
                <c:pt idx="43">
                  <c:v>5151.9904572635905</c:v>
                </c:pt>
                <c:pt idx="44">
                  <c:v>6233.9084532889437</c:v>
                </c:pt>
                <c:pt idx="45">
                  <c:v>7543.0292284796233</c:v>
                </c:pt>
                <c:pt idx="46">
                  <c:v>9127.0653664603487</c:v>
                </c:pt>
                <c:pt idx="47">
                  <c:v>11043.749093417022</c:v>
                </c:pt>
                <c:pt idx="48">
                  <c:v>13362.936403034599</c:v>
                </c:pt>
                <c:pt idx="49">
                  <c:v>16169.153047671871</c:v>
                </c:pt>
                <c:pt idx="50">
                  <c:v>19564.675187682966</c:v>
                </c:pt>
                <c:pt idx="51">
                  <c:v>23673.256977096389</c:v>
                </c:pt>
                <c:pt idx="52">
                  <c:v>28644.640942286638</c:v>
                </c:pt>
                <c:pt idx="53">
                  <c:v>34660.015540166845</c:v>
                </c:pt>
                <c:pt idx="54">
                  <c:v>41938.618803601894</c:v>
                </c:pt>
                <c:pt idx="55">
                  <c:v>50745.728752358315</c:v>
                </c:pt>
                <c:pt idx="56">
                  <c:v>61402.33179035355</c:v>
                </c:pt>
                <c:pt idx="57">
                  <c:v>74296.82146632782</c:v>
                </c:pt>
                <c:pt idx="58">
                  <c:v>89899.153974256682</c:v>
                </c:pt>
                <c:pt idx="59">
                  <c:v>108777.97630885062</c:v>
                </c:pt>
                <c:pt idx="60">
                  <c:v>131621.35133370929</c:v>
                </c:pt>
                <c:pt idx="61">
                  <c:v>159261.83511378826</c:v>
                </c:pt>
                <c:pt idx="62">
                  <c:v>192706.82048768381</c:v>
                </c:pt>
                <c:pt idx="63">
                  <c:v>233175.25279009744</c:v>
                </c:pt>
                <c:pt idx="64">
                  <c:v>282142.0558760179</c:v>
                </c:pt>
                <c:pt idx="65">
                  <c:v>341391.88760998176</c:v>
                </c:pt>
              </c:numCache>
            </c:numRef>
          </c:yVal>
          <c:smooth val="0"/>
        </c:ser>
        <c:ser>
          <c:idx val="3"/>
          <c:order val="1"/>
          <c:tx>
            <c:strRef>
              <c:f>Sheet1!$U$14</c:f>
              <c:strCache>
                <c:ptCount val="1"/>
                <c:pt idx="0">
                  <c:v>Linear Market Price</c:v>
                </c:pt>
              </c:strCache>
            </c:strRef>
          </c:tx>
          <c:marker>
            <c:symbol val="none"/>
          </c:marker>
          <c:xVal>
            <c:numRef>
              <c:f>Sheet1!$B$15:$B$239</c:f>
              <c:numCache>
                <c:formatCode>#,##0</c:formatCode>
                <c:ptCount val="225"/>
                <c:pt idx="0">
                  <c:v>60000</c:v>
                </c:pt>
                <c:pt idx="1">
                  <c:v>66000</c:v>
                </c:pt>
                <c:pt idx="2">
                  <c:v>72600</c:v>
                </c:pt>
                <c:pt idx="3">
                  <c:v>79860</c:v>
                </c:pt>
                <c:pt idx="4">
                  <c:v>87846</c:v>
                </c:pt>
                <c:pt idx="5">
                  <c:v>96630.6</c:v>
                </c:pt>
                <c:pt idx="6">
                  <c:v>106293.66000000002</c:v>
                </c:pt>
                <c:pt idx="7">
                  <c:v>116923.02600000003</c:v>
                </c:pt>
                <c:pt idx="8">
                  <c:v>128615.32860000004</c:v>
                </c:pt>
                <c:pt idx="9">
                  <c:v>141476.86146000004</c:v>
                </c:pt>
                <c:pt idx="10">
                  <c:v>155624.54760600007</c:v>
                </c:pt>
                <c:pt idx="11">
                  <c:v>171187.00236660009</c:v>
                </c:pt>
                <c:pt idx="12">
                  <c:v>188305.70260326011</c:v>
                </c:pt>
                <c:pt idx="13">
                  <c:v>207136.27286358614</c:v>
                </c:pt>
                <c:pt idx="14">
                  <c:v>227849.90014994476</c:v>
                </c:pt>
                <c:pt idx="15">
                  <c:v>250634.89016493925</c:v>
                </c:pt>
                <c:pt idx="16">
                  <c:v>275698.37918143318</c:v>
                </c:pt>
                <c:pt idx="17">
                  <c:v>303268.21709957655</c:v>
                </c:pt>
                <c:pt idx="18">
                  <c:v>333595.03880953422</c:v>
                </c:pt>
                <c:pt idx="19">
                  <c:v>366954.54269048769</c:v>
                </c:pt>
                <c:pt idx="20">
                  <c:v>403649.99695953651</c:v>
                </c:pt>
                <c:pt idx="21">
                  <c:v>444014.99665549019</c:v>
                </c:pt>
                <c:pt idx="22">
                  <c:v>488416.49632103927</c:v>
                </c:pt>
                <c:pt idx="23">
                  <c:v>537258.14595314325</c:v>
                </c:pt>
                <c:pt idx="24">
                  <c:v>590983.96054845757</c:v>
                </c:pt>
                <c:pt idx="25">
                  <c:v>650082.35660330334</c:v>
                </c:pt>
                <c:pt idx="26">
                  <c:v>715090.59226363373</c:v>
                </c:pt>
                <c:pt idx="27">
                  <c:v>786599.65148999717</c:v>
                </c:pt>
                <c:pt idx="28">
                  <c:v>865259.61663899699</c:v>
                </c:pt>
                <c:pt idx="29">
                  <c:v>951785.57830289681</c:v>
                </c:pt>
                <c:pt idx="30">
                  <c:v>1083333.3333333323</c:v>
                </c:pt>
                <c:pt idx="31">
                  <c:v>1191666.6666666656</c:v>
                </c:pt>
                <c:pt idx="32">
                  <c:v>1310833.3333333323</c:v>
                </c:pt>
                <c:pt idx="33">
                  <c:v>1441916.6666666656</c:v>
                </c:pt>
                <c:pt idx="34">
                  <c:v>1586108.3333333323</c:v>
                </c:pt>
                <c:pt idx="35">
                  <c:v>1744719.1666666658</c:v>
                </c:pt>
                <c:pt idx="36">
                  <c:v>1919191.0833333326</c:v>
                </c:pt>
                <c:pt idx="37">
                  <c:v>2111110.191666666</c:v>
                </c:pt>
                <c:pt idx="38">
                  <c:v>2322221.210833333</c:v>
                </c:pt>
                <c:pt idx="39">
                  <c:v>2554443.3319166666</c:v>
                </c:pt>
                <c:pt idx="40">
                  <c:v>2809887.6651083333</c:v>
                </c:pt>
                <c:pt idx="41">
                  <c:v>3090876.4316191669</c:v>
                </c:pt>
                <c:pt idx="42">
                  <c:v>3399964.074781084</c:v>
                </c:pt>
                <c:pt idx="43">
                  <c:v>3739960.4822591925</c:v>
                </c:pt>
                <c:pt idx="44">
                  <c:v>4113956.5304851122</c:v>
                </c:pt>
                <c:pt idx="45">
                  <c:v>4525352.1835336238</c:v>
                </c:pt>
                <c:pt idx="46">
                  <c:v>4977887.4018869866</c:v>
                </c:pt>
                <c:pt idx="47">
                  <c:v>5475676.1420756858</c:v>
                </c:pt>
                <c:pt idx="48">
                  <c:v>6023243.7562832553</c:v>
                </c:pt>
                <c:pt idx="49">
                  <c:v>6625568.1319115814</c:v>
                </c:pt>
                <c:pt idx="50">
                  <c:v>7288124.9451027401</c:v>
                </c:pt>
                <c:pt idx="51">
                  <c:v>8016937.4396130145</c:v>
                </c:pt>
                <c:pt idx="52">
                  <c:v>8818631.183574317</c:v>
                </c:pt>
                <c:pt idx="53">
                  <c:v>9700494.30193175</c:v>
                </c:pt>
                <c:pt idx="54">
                  <c:v>10670543.732124927</c:v>
                </c:pt>
                <c:pt idx="55">
                  <c:v>11737598.10533742</c:v>
                </c:pt>
                <c:pt idx="56">
                  <c:v>12911357.915871164</c:v>
                </c:pt>
                <c:pt idx="57">
                  <c:v>14202493.707458282</c:v>
                </c:pt>
                <c:pt idx="58">
                  <c:v>15622743.078204112</c:v>
                </c:pt>
                <c:pt idx="59">
                  <c:v>17185017.386024524</c:v>
                </c:pt>
                <c:pt idx="60">
                  <c:v>18903519.124626979</c:v>
                </c:pt>
                <c:pt idx="61">
                  <c:v>20793871.037089679</c:v>
                </c:pt>
                <c:pt idx="62">
                  <c:v>22873258.140798651</c:v>
                </c:pt>
                <c:pt idx="63">
                  <c:v>25160583.954878516</c:v>
                </c:pt>
                <c:pt idx="64">
                  <c:v>27676642.350366369</c:v>
                </c:pt>
                <c:pt idx="65">
                  <c:v>30444306.585403007</c:v>
                </c:pt>
              </c:numCache>
            </c:numRef>
          </c:xVal>
          <c:yVal>
            <c:numRef>
              <c:f>Sheet1!$U$15:$U$239</c:f>
              <c:numCache>
                <c:formatCode>General</c:formatCode>
                <c:ptCount val="225"/>
                <c:pt idx="0">
                  <c:v>23.941666666666677</c:v>
                </c:pt>
                <c:pt idx="1">
                  <c:v>23.941666666666674</c:v>
                </c:pt>
                <c:pt idx="2">
                  <c:v>23.941666666666659</c:v>
                </c:pt>
                <c:pt idx="3">
                  <c:v>23.94166666666667</c:v>
                </c:pt>
                <c:pt idx="4">
                  <c:v>23.941666666666659</c:v>
                </c:pt>
                <c:pt idx="5">
                  <c:v>23.941666666666674</c:v>
                </c:pt>
                <c:pt idx="6">
                  <c:v>23.941666666666663</c:v>
                </c:pt>
                <c:pt idx="7">
                  <c:v>23.941666666666681</c:v>
                </c:pt>
                <c:pt idx="8">
                  <c:v>23.941666666666691</c:v>
                </c:pt>
                <c:pt idx="9">
                  <c:v>23.941666666666642</c:v>
                </c:pt>
                <c:pt idx="10">
                  <c:v>23.941666666666666</c:v>
                </c:pt>
                <c:pt idx="11">
                  <c:v>23.941666666666674</c:v>
                </c:pt>
                <c:pt idx="12">
                  <c:v>23.941666666666663</c:v>
                </c:pt>
                <c:pt idx="13">
                  <c:v>23.941666666666652</c:v>
                </c:pt>
                <c:pt idx="14">
                  <c:v>23.941666666666656</c:v>
                </c:pt>
                <c:pt idx="15">
                  <c:v>23.941666666666681</c:v>
                </c:pt>
                <c:pt idx="16">
                  <c:v>23.941666666666677</c:v>
                </c:pt>
                <c:pt idx="17">
                  <c:v>23.941666666666677</c:v>
                </c:pt>
                <c:pt idx="18">
                  <c:v>23.941666666666709</c:v>
                </c:pt>
                <c:pt idx="19">
                  <c:v>23.941666666666617</c:v>
                </c:pt>
                <c:pt idx="20">
                  <c:v>23.941666666666592</c:v>
                </c:pt>
                <c:pt idx="21">
                  <c:v>23.941666666666677</c:v>
                </c:pt>
                <c:pt idx="22">
                  <c:v>23.941666666666624</c:v>
                </c:pt>
                <c:pt idx="23">
                  <c:v>23.941666666666606</c:v>
                </c:pt>
                <c:pt idx="24">
                  <c:v>23.941666666666766</c:v>
                </c:pt>
                <c:pt idx="25">
                  <c:v>23.941666666666762</c:v>
                </c:pt>
                <c:pt idx="26">
                  <c:v>23.941666666666578</c:v>
                </c:pt>
                <c:pt idx="27">
                  <c:v>23.941666666666549</c:v>
                </c:pt>
                <c:pt idx="28">
                  <c:v>23.94166666666678</c:v>
                </c:pt>
                <c:pt idx="29">
                  <c:v>23.941666666666819</c:v>
                </c:pt>
                <c:pt idx="30">
                  <c:v>23.941666666666666</c:v>
                </c:pt>
                <c:pt idx="31">
                  <c:v>26.335833333333333</c:v>
                </c:pt>
                <c:pt idx="32">
                  <c:v>28.969416666666667</c:v>
                </c:pt>
                <c:pt idx="33">
                  <c:v>31.866358333333338</c:v>
                </c:pt>
                <c:pt idx="34">
                  <c:v>35.052994166666679</c:v>
                </c:pt>
                <c:pt idx="35">
                  <c:v>38.558293583333345</c:v>
                </c:pt>
                <c:pt idx="36">
                  <c:v>42.414122941666683</c:v>
                </c:pt>
                <c:pt idx="37">
                  <c:v>46.655535235833362</c:v>
                </c:pt>
                <c:pt idx="38">
                  <c:v>51.321088759416703</c:v>
                </c:pt>
                <c:pt idx="39">
                  <c:v>56.453197635358386</c:v>
                </c:pt>
                <c:pt idx="40">
                  <c:v>62.098517398894217</c:v>
                </c:pt>
                <c:pt idx="41">
                  <c:v>68.308369138783647</c:v>
                </c:pt>
                <c:pt idx="42">
                  <c:v>75.139206052662004</c:v>
                </c:pt>
                <c:pt idx="43">
                  <c:v>82.653126657928226</c:v>
                </c:pt>
                <c:pt idx="44">
                  <c:v>90.91843932372106</c:v>
                </c:pt>
                <c:pt idx="45">
                  <c:v>100.01028325609317</c:v>
                </c:pt>
                <c:pt idx="46">
                  <c:v>110.0113115817025</c:v>
                </c:pt>
                <c:pt idx="47">
                  <c:v>121.01244273987277</c:v>
                </c:pt>
                <c:pt idx="48">
                  <c:v>133.11368701386007</c:v>
                </c:pt>
                <c:pt idx="49">
                  <c:v>146.42505571524609</c:v>
                </c:pt>
                <c:pt idx="50">
                  <c:v>161.06756128677071</c:v>
                </c:pt>
                <c:pt idx="51">
                  <c:v>177.17431741544777</c:v>
                </c:pt>
                <c:pt idx="52">
                  <c:v>194.89174915699257</c:v>
                </c:pt>
                <c:pt idx="53">
                  <c:v>214.38092407269187</c:v>
                </c:pt>
                <c:pt idx="54">
                  <c:v>235.81901647996111</c:v>
                </c:pt>
                <c:pt idx="55">
                  <c:v>259.40091812795725</c:v>
                </c:pt>
                <c:pt idx="56">
                  <c:v>285.34100994075294</c:v>
                </c:pt>
                <c:pt idx="57">
                  <c:v>313.87511093482834</c:v>
                </c:pt>
                <c:pt idx="58">
                  <c:v>345.26262202831117</c:v>
                </c:pt>
                <c:pt idx="59">
                  <c:v>379.78888423114233</c:v>
                </c:pt>
                <c:pt idx="60">
                  <c:v>417.76777265425665</c:v>
                </c:pt>
                <c:pt idx="61">
                  <c:v>459.54454991968231</c:v>
                </c:pt>
                <c:pt idx="62">
                  <c:v>505.49900491165062</c:v>
                </c:pt>
                <c:pt idx="63">
                  <c:v>556.04890540281565</c:v>
                </c:pt>
                <c:pt idx="64">
                  <c:v>611.65379594309729</c:v>
                </c:pt>
                <c:pt idx="65">
                  <c:v>672.81917553740709</c:v>
                </c:pt>
              </c:numCache>
            </c:numRef>
          </c:yVal>
          <c:smooth val="0"/>
        </c:ser>
        <c:ser>
          <c:idx val="0"/>
          <c:order val="2"/>
          <c:tx>
            <c:strRef>
              <c:f>Sheet1!$W$14</c:f>
              <c:strCache>
                <c:ptCount val="1"/>
                <c:pt idx="0">
                  <c:v>Flat Market Price</c:v>
                </c:pt>
              </c:strCache>
            </c:strRef>
          </c:tx>
          <c:marker>
            <c:symbol val="none"/>
          </c:marker>
          <c:dPt>
            <c:idx val="0"/>
            <c:marker>
              <c:symbol val="auto"/>
            </c:marker>
            <c:bubble3D val="0"/>
          </c:dPt>
          <c:dLbls>
            <c:dLbl>
              <c:idx val="0"/>
              <c:layout>
                <c:manualLayout>
                  <c:x val="-0.15508774215042478"/>
                  <c:y val="-8.695652173913043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Sheet1!$B$15:$B$239</c:f>
              <c:numCache>
                <c:formatCode>#,##0</c:formatCode>
                <c:ptCount val="225"/>
                <c:pt idx="0">
                  <c:v>60000</c:v>
                </c:pt>
                <c:pt idx="1">
                  <c:v>66000</c:v>
                </c:pt>
                <c:pt idx="2">
                  <c:v>72600</c:v>
                </c:pt>
                <c:pt idx="3">
                  <c:v>79860</c:v>
                </c:pt>
                <c:pt idx="4">
                  <c:v>87846</c:v>
                </c:pt>
                <c:pt idx="5">
                  <c:v>96630.6</c:v>
                </c:pt>
                <c:pt idx="6">
                  <c:v>106293.66000000002</c:v>
                </c:pt>
                <c:pt idx="7">
                  <c:v>116923.02600000003</c:v>
                </c:pt>
                <c:pt idx="8">
                  <c:v>128615.32860000004</c:v>
                </c:pt>
                <c:pt idx="9">
                  <c:v>141476.86146000004</c:v>
                </c:pt>
                <c:pt idx="10">
                  <c:v>155624.54760600007</c:v>
                </c:pt>
                <c:pt idx="11">
                  <c:v>171187.00236660009</c:v>
                </c:pt>
                <c:pt idx="12">
                  <c:v>188305.70260326011</c:v>
                </c:pt>
                <c:pt idx="13">
                  <c:v>207136.27286358614</c:v>
                </c:pt>
                <c:pt idx="14">
                  <c:v>227849.90014994476</c:v>
                </c:pt>
                <c:pt idx="15">
                  <c:v>250634.89016493925</c:v>
                </c:pt>
                <c:pt idx="16">
                  <c:v>275698.37918143318</c:v>
                </c:pt>
                <c:pt idx="17">
                  <c:v>303268.21709957655</c:v>
                </c:pt>
                <c:pt idx="18">
                  <c:v>333595.03880953422</c:v>
                </c:pt>
                <c:pt idx="19">
                  <c:v>366954.54269048769</c:v>
                </c:pt>
                <c:pt idx="20">
                  <c:v>403649.99695953651</c:v>
                </c:pt>
                <c:pt idx="21">
                  <c:v>444014.99665549019</c:v>
                </c:pt>
                <c:pt idx="22">
                  <c:v>488416.49632103927</c:v>
                </c:pt>
                <c:pt idx="23">
                  <c:v>537258.14595314325</c:v>
                </c:pt>
                <c:pt idx="24">
                  <c:v>590983.96054845757</c:v>
                </c:pt>
                <c:pt idx="25">
                  <c:v>650082.35660330334</c:v>
                </c:pt>
                <c:pt idx="26">
                  <c:v>715090.59226363373</c:v>
                </c:pt>
                <c:pt idx="27">
                  <c:v>786599.65148999717</c:v>
                </c:pt>
                <c:pt idx="28">
                  <c:v>865259.61663899699</c:v>
                </c:pt>
                <c:pt idx="29">
                  <c:v>951785.57830289681</c:v>
                </c:pt>
                <c:pt idx="30">
                  <c:v>1083333.3333333323</c:v>
                </c:pt>
                <c:pt idx="31">
                  <c:v>1191666.6666666656</c:v>
                </c:pt>
                <c:pt idx="32">
                  <c:v>1310833.3333333323</c:v>
                </c:pt>
                <c:pt idx="33">
                  <c:v>1441916.6666666656</c:v>
                </c:pt>
                <c:pt idx="34">
                  <c:v>1586108.3333333323</c:v>
                </c:pt>
                <c:pt idx="35">
                  <c:v>1744719.1666666658</c:v>
                </c:pt>
                <c:pt idx="36">
                  <c:v>1919191.0833333326</c:v>
                </c:pt>
                <c:pt idx="37">
                  <c:v>2111110.191666666</c:v>
                </c:pt>
                <c:pt idx="38">
                  <c:v>2322221.210833333</c:v>
                </c:pt>
                <c:pt idx="39">
                  <c:v>2554443.3319166666</c:v>
                </c:pt>
                <c:pt idx="40">
                  <c:v>2809887.6651083333</c:v>
                </c:pt>
                <c:pt idx="41">
                  <c:v>3090876.4316191669</c:v>
                </c:pt>
                <c:pt idx="42">
                  <c:v>3399964.074781084</c:v>
                </c:pt>
                <c:pt idx="43">
                  <c:v>3739960.4822591925</c:v>
                </c:pt>
                <c:pt idx="44">
                  <c:v>4113956.5304851122</c:v>
                </c:pt>
                <c:pt idx="45">
                  <c:v>4525352.1835336238</c:v>
                </c:pt>
                <c:pt idx="46">
                  <c:v>4977887.4018869866</c:v>
                </c:pt>
                <c:pt idx="47">
                  <c:v>5475676.1420756858</c:v>
                </c:pt>
                <c:pt idx="48">
                  <c:v>6023243.7562832553</c:v>
                </c:pt>
                <c:pt idx="49">
                  <c:v>6625568.1319115814</c:v>
                </c:pt>
                <c:pt idx="50">
                  <c:v>7288124.9451027401</c:v>
                </c:pt>
                <c:pt idx="51">
                  <c:v>8016937.4396130145</c:v>
                </c:pt>
                <c:pt idx="52">
                  <c:v>8818631.183574317</c:v>
                </c:pt>
                <c:pt idx="53">
                  <c:v>9700494.30193175</c:v>
                </c:pt>
                <c:pt idx="54">
                  <c:v>10670543.732124927</c:v>
                </c:pt>
                <c:pt idx="55">
                  <c:v>11737598.10533742</c:v>
                </c:pt>
                <c:pt idx="56">
                  <c:v>12911357.915871164</c:v>
                </c:pt>
                <c:pt idx="57">
                  <c:v>14202493.707458282</c:v>
                </c:pt>
                <c:pt idx="58">
                  <c:v>15622743.078204112</c:v>
                </c:pt>
                <c:pt idx="59">
                  <c:v>17185017.386024524</c:v>
                </c:pt>
                <c:pt idx="60">
                  <c:v>18903519.124626979</c:v>
                </c:pt>
                <c:pt idx="61">
                  <c:v>20793871.037089679</c:v>
                </c:pt>
                <c:pt idx="62">
                  <c:v>22873258.140798651</c:v>
                </c:pt>
                <c:pt idx="63">
                  <c:v>25160583.954878516</c:v>
                </c:pt>
                <c:pt idx="64">
                  <c:v>27676642.350366369</c:v>
                </c:pt>
                <c:pt idx="65">
                  <c:v>30444306.585403007</c:v>
                </c:pt>
              </c:numCache>
            </c:numRef>
          </c:xVal>
          <c:yVal>
            <c:numRef>
              <c:f>Sheet1!$W$15:$W$239</c:f>
              <c:numCache>
                <c:formatCode>General</c:formatCode>
                <c:ptCount val="225"/>
                <c:pt idx="0">
                  <c:v>23.941666666666677</c:v>
                </c:pt>
                <c:pt idx="1">
                  <c:v>21.765151515151519</c:v>
                </c:pt>
                <c:pt idx="2">
                  <c:v>19.786501377410463</c:v>
                </c:pt>
                <c:pt idx="3">
                  <c:v>17.987728524918609</c:v>
                </c:pt>
                <c:pt idx="4">
                  <c:v>16.352480477198728</c:v>
                </c:pt>
                <c:pt idx="5">
                  <c:v>14.865891342907945</c:v>
                </c:pt>
                <c:pt idx="6">
                  <c:v>13.51444667537085</c:v>
                </c:pt>
                <c:pt idx="7">
                  <c:v>12.285860613973508</c:v>
                </c:pt>
                <c:pt idx="8">
                  <c:v>11.168964194521374</c:v>
                </c:pt>
                <c:pt idx="9">
                  <c:v>10.153603813201229</c:v>
                </c:pt>
                <c:pt idx="10">
                  <c:v>9.2305489210920353</c:v>
                </c:pt>
                <c:pt idx="11">
                  <c:v>8.3914081100836686</c:v>
                </c:pt>
                <c:pt idx="12">
                  <c:v>7.6285528273487877</c:v>
                </c:pt>
                <c:pt idx="13">
                  <c:v>6.9350480248625299</c:v>
                </c:pt>
                <c:pt idx="14">
                  <c:v>6.3045891135113923</c:v>
                </c:pt>
                <c:pt idx="15">
                  <c:v>5.7314446486467254</c:v>
                </c:pt>
                <c:pt idx="16">
                  <c:v>5.2104042260424777</c:v>
                </c:pt>
                <c:pt idx="17">
                  <c:v>4.7367311145840683</c:v>
                </c:pt>
                <c:pt idx="18">
                  <c:v>4.3061191950764321</c:v>
                </c:pt>
                <c:pt idx="19">
                  <c:v>3.914653813705832</c:v>
                </c:pt>
                <c:pt idx="20">
                  <c:v>3.5587761942780247</c:v>
                </c:pt>
                <c:pt idx="21">
                  <c:v>3.2352510857073065</c:v>
                </c:pt>
                <c:pt idx="22">
                  <c:v>2.941137350642999</c:v>
                </c:pt>
                <c:pt idx="23">
                  <c:v>2.6737612278572698</c:v>
                </c:pt>
                <c:pt idx="24">
                  <c:v>2.4306920253248068</c:v>
                </c:pt>
                <c:pt idx="25">
                  <c:v>2.2097200230225509</c:v>
                </c:pt>
                <c:pt idx="26">
                  <c:v>2.00883638456594</c:v>
                </c:pt>
                <c:pt idx="27">
                  <c:v>1.8262148950599433</c:v>
                </c:pt>
                <c:pt idx="28">
                  <c:v>1.6601953591454186</c:v>
                </c:pt>
                <c:pt idx="29">
                  <c:v>1.5092685083140189</c:v>
                </c:pt>
                <c:pt idx="30">
                  <c:v>1.3260000000000012</c:v>
                </c:pt>
                <c:pt idx="31">
                  <c:v>1.3260000000000012</c:v>
                </c:pt>
                <c:pt idx="32">
                  <c:v>1.3260000000000012</c:v>
                </c:pt>
                <c:pt idx="33">
                  <c:v>1.3260000000000012</c:v>
                </c:pt>
                <c:pt idx="34">
                  <c:v>1.3260000000000012</c:v>
                </c:pt>
                <c:pt idx="35">
                  <c:v>1.3260000000000012</c:v>
                </c:pt>
                <c:pt idx="36">
                  <c:v>1.3260000000000012</c:v>
                </c:pt>
                <c:pt idx="37">
                  <c:v>1.3260000000000012</c:v>
                </c:pt>
                <c:pt idx="38">
                  <c:v>1.3260000000000012</c:v>
                </c:pt>
                <c:pt idx="39">
                  <c:v>1.3260000000000012</c:v>
                </c:pt>
                <c:pt idx="40">
                  <c:v>1.326000000000001</c:v>
                </c:pt>
                <c:pt idx="41">
                  <c:v>1.3260000000000012</c:v>
                </c:pt>
                <c:pt idx="42">
                  <c:v>1.326000000000001</c:v>
                </c:pt>
                <c:pt idx="43">
                  <c:v>1.3260000000000012</c:v>
                </c:pt>
                <c:pt idx="44">
                  <c:v>1.3260000000000012</c:v>
                </c:pt>
                <c:pt idx="45">
                  <c:v>1.3260000000000012</c:v>
                </c:pt>
                <c:pt idx="46">
                  <c:v>1.3260000000000012</c:v>
                </c:pt>
                <c:pt idx="47">
                  <c:v>1.3260000000000012</c:v>
                </c:pt>
                <c:pt idx="48">
                  <c:v>1.3260000000000012</c:v>
                </c:pt>
                <c:pt idx="49">
                  <c:v>1.3260000000000014</c:v>
                </c:pt>
                <c:pt idx="50">
                  <c:v>1.3260000000000012</c:v>
                </c:pt>
                <c:pt idx="51">
                  <c:v>1.3260000000000012</c:v>
                </c:pt>
                <c:pt idx="52">
                  <c:v>1.3260000000000012</c:v>
                </c:pt>
                <c:pt idx="53">
                  <c:v>1.3260000000000012</c:v>
                </c:pt>
                <c:pt idx="54">
                  <c:v>1.3260000000000012</c:v>
                </c:pt>
                <c:pt idx="55">
                  <c:v>1.3260000000000014</c:v>
                </c:pt>
                <c:pt idx="56">
                  <c:v>1.326000000000001</c:v>
                </c:pt>
                <c:pt idx="57">
                  <c:v>1.3260000000000012</c:v>
                </c:pt>
                <c:pt idx="58">
                  <c:v>1.3260000000000012</c:v>
                </c:pt>
                <c:pt idx="59">
                  <c:v>1.3260000000000012</c:v>
                </c:pt>
                <c:pt idx="60">
                  <c:v>1.3260000000000012</c:v>
                </c:pt>
                <c:pt idx="61">
                  <c:v>1.3260000000000012</c:v>
                </c:pt>
                <c:pt idx="62">
                  <c:v>1.3260000000000012</c:v>
                </c:pt>
                <c:pt idx="63">
                  <c:v>1.326000000000001</c:v>
                </c:pt>
                <c:pt idx="64">
                  <c:v>1.3260000000000012</c:v>
                </c:pt>
                <c:pt idx="65">
                  <c:v>1.3260000000000012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292736"/>
        <c:axId val="108319872"/>
      </c:scatterChart>
      <c:valAx>
        <c:axId val="108292736"/>
        <c:scaling>
          <c:orientation val="minMax"/>
          <c:max val="20000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Median</a:t>
                </a:r>
                <a:r>
                  <a:rPr lang="en-US" baseline="0"/>
                  <a:t> Block Size, MB</a:t>
                </a:r>
                <a:endParaRPr lang="en-US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108319872"/>
        <c:crosses val="autoZero"/>
        <c:crossBetween val="midCat"/>
        <c:majorUnit val="500000"/>
        <c:dispUnits>
          <c:builtInUnit val="millions"/>
        </c:dispUnits>
      </c:valAx>
      <c:valAx>
        <c:axId val="108319872"/>
        <c:scaling>
          <c:logBase val="10"/>
          <c:orientation val="minMax"/>
          <c:max val="1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Block Fees,</a:t>
                </a:r>
                <a:r>
                  <a:rPr lang="en-US" baseline="0"/>
                  <a:t> USD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6.3613938348601351E-2"/>
              <c:y val="0.3924142416980486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108292736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25964769378124536"/>
          <c:y val="0.24907109437407279"/>
          <c:w val="0.43287106983751023"/>
          <c:h val="0.10415223097112859"/>
        </c:manualLayout>
      </c:layout>
      <c:overlay val="1"/>
      <c:spPr>
        <a:solidFill>
          <a:schemeClr val="bg1"/>
        </a:solidFill>
        <a:ln>
          <a:solidFill>
            <a:schemeClr val="accent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Block Size</a:t>
            </a:r>
            <a:r>
              <a:rPr lang="en-US" baseline="0"/>
              <a:t> Sustainability Cost</a:t>
            </a:r>
            <a:endParaRPr lang="en-US"/>
          </a:p>
          <a:p>
            <a:pPr>
              <a:defRPr/>
            </a:pPr>
            <a:r>
              <a:rPr lang="en-US" sz="1200"/>
              <a:t>(</a:t>
            </a:r>
            <a:r>
              <a:rPr lang="en-US" sz="1200" baseline="0"/>
              <a:t>new penalty, new min. fee)</a:t>
            </a:r>
            <a:endParaRPr lang="en-US" sz="1200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Sheet1!$S$14</c:f>
              <c:strCache>
                <c:ptCount val="1"/>
                <c:pt idx="0">
                  <c:v>Square Market Price</c:v>
                </c:pt>
              </c:strCache>
            </c:strRef>
          </c:tx>
          <c:marker>
            <c:symbol val="none"/>
          </c:marker>
          <c:xVal>
            <c:numRef>
              <c:f>Sheet1!$B$15:$B$239</c:f>
              <c:numCache>
                <c:formatCode>#,##0</c:formatCode>
                <c:ptCount val="225"/>
                <c:pt idx="0">
                  <c:v>60000</c:v>
                </c:pt>
                <c:pt idx="1">
                  <c:v>66000</c:v>
                </c:pt>
                <c:pt idx="2">
                  <c:v>72600</c:v>
                </c:pt>
                <c:pt idx="3">
                  <c:v>79860</c:v>
                </c:pt>
                <c:pt idx="4">
                  <c:v>87846</c:v>
                </c:pt>
                <c:pt idx="5">
                  <c:v>96630.6</c:v>
                </c:pt>
                <c:pt idx="6">
                  <c:v>106293.66000000002</c:v>
                </c:pt>
                <c:pt idx="7">
                  <c:v>116923.02600000003</c:v>
                </c:pt>
                <c:pt idx="8">
                  <c:v>128615.32860000004</c:v>
                </c:pt>
                <c:pt idx="9">
                  <c:v>141476.86146000004</c:v>
                </c:pt>
                <c:pt idx="10">
                  <c:v>155624.54760600007</c:v>
                </c:pt>
                <c:pt idx="11">
                  <c:v>171187.00236660009</c:v>
                </c:pt>
                <c:pt idx="12">
                  <c:v>188305.70260326011</c:v>
                </c:pt>
                <c:pt idx="13">
                  <c:v>207136.27286358614</c:v>
                </c:pt>
                <c:pt idx="14">
                  <c:v>227849.90014994476</c:v>
                </c:pt>
                <c:pt idx="15">
                  <c:v>250634.89016493925</c:v>
                </c:pt>
                <c:pt idx="16">
                  <c:v>275698.37918143318</c:v>
                </c:pt>
                <c:pt idx="17">
                  <c:v>303268.21709957655</c:v>
                </c:pt>
                <c:pt idx="18">
                  <c:v>333595.03880953422</c:v>
                </c:pt>
                <c:pt idx="19">
                  <c:v>366954.54269048769</c:v>
                </c:pt>
                <c:pt idx="20">
                  <c:v>403649.99695953651</c:v>
                </c:pt>
                <c:pt idx="21">
                  <c:v>444014.99665549019</c:v>
                </c:pt>
                <c:pt idx="22">
                  <c:v>488416.49632103927</c:v>
                </c:pt>
                <c:pt idx="23">
                  <c:v>537258.14595314325</c:v>
                </c:pt>
                <c:pt idx="24">
                  <c:v>590983.96054845757</c:v>
                </c:pt>
                <c:pt idx="25">
                  <c:v>650082.35660330334</c:v>
                </c:pt>
                <c:pt idx="26">
                  <c:v>715090.59226363373</c:v>
                </c:pt>
                <c:pt idx="27">
                  <c:v>786599.65148999717</c:v>
                </c:pt>
                <c:pt idx="28">
                  <c:v>865259.61663899699</c:v>
                </c:pt>
                <c:pt idx="29">
                  <c:v>951785.57830289681</c:v>
                </c:pt>
                <c:pt idx="30">
                  <c:v>1083333.3333333323</c:v>
                </c:pt>
                <c:pt idx="31">
                  <c:v>1191666.6666666656</c:v>
                </c:pt>
                <c:pt idx="32">
                  <c:v>1310833.3333333323</c:v>
                </c:pt>
                <c:pt idx="33">
                  <c:v>1441916.6666666656</c:v>
                </c:pt>
                <c:pt idx="34">
                  <c:v>1586108.3333333323</c:v>
                </c:pt>
                <c:pt idx="35">
                  <c:v>1744719.1666666658</c:v>
                </c:pt>
                <c:pt idx="36">
                  <c:v>1919191.0833333326</c:v>
                </c:pt>
                <c:pt idx="37">
                  <c:v>2111110.191666666</c:v>
                </c:pt>
                <c:pt idx="38">
                  <c:v>2322221.210833333</c:v>
                </c:pt>
                <c:pt idx="39">
                  <c:v>2554443.3319166666</c:v>
                </c:pt>
                <c:pt idx="40">
                  <c:v>2809887.6651083333</c:v>
                </c:pt>
                <c:pt idx="41">
                  <c:v>3090876.4316191669</c:v>
                </c:pt>
                <c:pt idx="42">
                  <c:v>3399964.074781084</c:v>
                </c:pt>
                <c:pt idx="43">
                  <c:v>3739960.4822591925</c:v>
                </c:pt>
                <c:pt idx="44">
                  <c:v>4113956.5304851122</c:v>
                </c:pt>
                <c:pt idx="45">
                  <c:v>4525352.1835336238</c:v>
                </c:pt>
                <c:pt idx="46">
                  <c:v>4977887.4018869866</c:v>
                </c:pt>
                <c:pt idx="47">
                  <c:v>5475676.1420756858</c:v>
                </c:pt>
                <c:pt idx="48">
                  <c:v>6023243.7562832553</c:v>
                </c:pt>
                <c:pt idx="49">
                  <c:v>6625568.1319115814</c:v>
                </c:pt>
                <c:pt idx="50">
                  <c:v>7288124.9451027401</c:v>
                </c:pt>
                <c:pt idx="51">
                  <c:v>8016937.4396130145</c:v>
                </c:pt>
                <c:pt idx="52">
                  <c:v>8818631.183574317</c:v>
                </c:pt>
                <c:pt idx="53">
                  <c:v>9700494.30193175</c:v>
                </c:pt>
                <c:pt idx="54">
                  <c:v>10670543.732124927</c:v>
                </c:pt>
                <c:pt idx="55">
                  <c:v>11737598.10533742</c:v>
                </c:pt>
                <c:pt idx="56">
                  <c:v>12911357.915871164</c:v>
                </c:pt>
                <c:pt idx="57">
                  <c:v>14202493.707458282</c:v>
                </c:pt>
                <c:pt idx="58">
                  <c:v>15622743.078204112</c:v>
                </c:pt>
                <c:pt idx="59">
                  <c:v>17185017.386024524</c:v>
                </c:pt>
                <c:pt idx="60">
                  <c:v>18903519.124626979</c:v>
                </c:pt>
                <c:pt idx="61">
                  <c:v>20793871.037089679</c:v>
                </c:pt>
                <c:pt idx="62">
                  <c:v>22873258.140798651</c:v>
                </c:pt>
                <c:pt idx="63">
                  <c:v>25160583.954878516</c:v>
                </c:pt>
                <c:pt idx="64">
                  <c:v>27676642.350366369</c:v>
                </c:pt>
                <c:pt idx="65">
                  <c:v>30444306.585403007</c:v>
                </c:pt>
              </c:numCache>
            </c:numRef>
          </c:xVal>
          <c:yVal>
            <c:numRef>
              <c:f>Sheet1!$S$15:$S$239</c:f>
              <c:numCache>
                <c:formatCode>0.00</c:formatCode>
                <c:ptCount val="225"/>
                <c:pt idx="0">
                  <c:v>7.3440000000000366E-2</c:v>
                </c:pt>
                <c:pt idx="1">
                  <c:v>9.7748640000000123E-2</c:v>
                </c:pt>
                <c:pt idx="2">
                  <c:v>0.13010343984000022</c:v>
                </c:pt>
                <c:pt idx="3">
                  <c:v>0.17316767842704026</c:v>
                </c:pt>
                <c:pt idx="4">
                  <c:v>0.23048617998639065</c:v>
                </c:pt>
                <c:pt idx="5">
                  <c:v>0.30677710556188592</c:v>
                </c:pt>
                <c:pt idx="6">
                  <c:v>0.40832032750287034</c:v>
                </c:pt>
                <c:pt idx="7">
                  <c:v>0.54347435590631998</c:v>
                </c:pt>
                <c:pt idx="8">
                  <c:v>0.72336436771131207</c:v>
                </c:pt>
                <c:pt idx="9">
                  <c:v>0.96279797342375806</c:v>
                </c:pt>
                <c:pt idx="10">
                  <c:v>1.2814841026270218</c:v>
                </c:pt>
                <c:pt idx="11">
                  <c:v>1.7056553405965664</c:v>
                </c:pt>
                <c:pt idx="12">
                  <c:v>2.2702272583340304</c:v>
                </c:pt>
                <c:pt idx="13">
                  <c:v>3.021672480842597</c:v>
                </c:pt>
                <c:pt idx="14">
                  <c:v>4.0218460720014937</c:v>
                </c:pt>
                <c:pt idx="15">
                  <c:v>5.3530771218339854</c:v>
                </c:pt>
                <c:pt idx="16">
                  <c:v>7.1249456491610337</c:v>
                </c:pt>
                <c:pt idx="17">
                  <c:v>9.4833026590333471</c:v>
                </c:pt>
                <c:pt idx="18">
                  <c:v>12.622275839173367</c:v>
                </c:pt>
                <c:pt idx="19">
                  <c:v>16.800249141939819</c:v>
                </c:pt>
                <c:pt idx="20">
                  <c:v>22.36113160792193</c:v>
                </c:pt>
                <c:pt idx="21">
                  <c:v>29.762666170143998</c:v>
                </c:pt>
                <c:pt idx="22">
                  <c:v>39.614108672461761</c:v>
                </c:pt>
                <c:pt idx="23">
                  <c:v>52.726378643046658</c:v>
                </c:pt>
                <c:pt idx="24">
                  <c:v>70.178809973894658</c:v>
                </c:pt>
                <c:pt idx="25">
                  <c:v>93.407996075253791</c:v>
                </c:pt>
                <c:pt idx="26">
                  <c:v>124.32604277616377</c:v>
                </c:pt>
                <c:pt idx="27">
                  <c:v>165.47796293507423</c:v>
                </c:pt>
                <c:pt idx="28">
                  <c:v>220.25116866658172</c:v>
                </c:pt>
                <c:pt idx="29">
                  <c:v>293.15430549521994</c:v>
                </c:pt>
                <c:pt idx="30">
                  <c:v>432.28009259259221</c:v>
                </c:pt>
                <c:pt idx="31">
                  <c:v>523.05891203703652</c:v>
                </c:pt>
                <c:pt idx="32">
                  <c:v>632.90128356481421</c:v>
                </c:pt>
                <c:pt idx="33">
                  <c:v>765.81055311342561</c:v>
                </c:pt>
                <c:pt idx="34">
                  <c:v>926.630769267245</c:v>
                </c:pt>
                <c:pt idx="35">
                  <c:v>1121.2232308133666</c:v>
                </c:pt>
                <c:pt idx="36">
                  <c:v>1356.680109284174</c:v>
                </c:pt>
                <c:pt idx="37">
                  <c:v>1641.5829322338507</c:v>
                </c:pt>
                <c:pt idx="38">
                  <c:v>1986.31534800296</c:v>
                </c:pt>
                <c:pt idx="39">
                  <c:v>2403.4415710835829</c:v>
                </c:pt>
                <c:pt idx="40">
                  <c:v>2908.1643010111347</c:v>
                </c:pt>
                <c:pt idx="41">
                  <c:v>3518.8788042234737</c:v>
                </c:pt>
                <c:pt idx="42">
                  <c:v>4257.8433531104047</c:v>
                </c:pt>
                <c:pt idx="43">
                  <c:v>5151.9904572635905</c:v>
                </c:pt>
                <c:pt idx="44">
                  <c:v>6233.9084532889437</c:v>
                </c:pt>
                <c:pt idx="45">
                  <c:v>7543.0292284796233</c:v>
                </c:pt>
                <c:pt idx="46">
                  <c:v>9127.0653664603487</c:v>
                </c:pt>
                <c:pt idx="47">
                  <c:v>11043.749093417022</c:v>
                </c:pt>
                <c:pt idx="48">
                  <c:v>13362.936403034599</c:v>
                </c:pt>
                <c:pt idx="49">
                  <c:v>16169.153047671871</c:v>
                </c:pt>
                <c:pt idx="50">
                  <c:v>19564.675187682966</c:v>
                </c:pt>
                <c:pt idx="51">
                  <c:v>23673.256977096389</c:v>
                </c:pt>
                <c:pt idx="52">
                  <c:v>28644.640942286638</c:v>
                </c:pt>
                <c:pt idx="53">
                  <c:v>34660.015540166845</c:v>
                </c:pt>
                <c:pt idx="54">
                  <c:v>41938.618803601894</c:v>
                </c:pt>
                <c:pt idx="55">
                  <c:v>50745.728752358315</c:v>
                </c:pt>
                <c:pt idx="56">
                  <c:v>61402.33179035355</c:v>
                </c:pt>
                <c:pt idx="57">
                  <c:v>74296.82146632782</c:v>
                </c:pt>
                <c:pt idx="58">
                  <c:v>89899.153974256682</c:v>
                </c:pt>
                <c:pt idx="59">
                  <c:v>108777.97630885062</c:v>
                </c:pt>
                <c:pt idx="60">
                  <c:v>131621.35133370929</c:v>
                </c:pt>
                <c:pt idx="61">
                  <c:v>159261.83511378826</c:v>
                </c:pt>
                <c:pt idx="62">
                  <c:v>192706.82048768381</c:v>
                </c:pt>
                <c:pt idx="63">
                  <c:v>233175.25279009744</c:v>
                </c:pt>
                <c:pt idx="64">
                  <c:v>282142.0558760179</c:v>
                </c:pt>
                <c:pt idx="65">
                  <c:v>341391.88760998176</c:v>
                </c:pt>
              </c:numCache>
            </c:numRef>
          </c:yVal>
          <c:smooth val="0"/>
        </c:ser>
        <c:ser>
          <c:idx val="3"/>
          <c:order val="1"/>
          <c:tx>
            <c:strRef>
              <c:f>Sheet1!$R$14</c:f>
              <c:strCache>
                <c:ptCount val="1"/>
                <c:pt idx="0">
                  <c:v>Linear Market Price</c:v>
                </c:pt>
              </c:strCache>
            </c:strRef>
          </c:tx>
          <c:marker>
            <c:symbol val="none"/>
          </c:marker>
          <c:xVal>
            <c:numRef>
              <c:f>Sheet1!$B$15:$B$239</c:f>
              <c:numCache>
                <c:formatCode>#,##0</c:formatCode>
                <c:ptCount val="225"/>
                <c:pt idx="0">
                  <c:v>60000</c:v>
                </c:pt>
                <c:pt idx="1">
                  <c:v>66000</c:v>
                </c:pt>
                <c:pt idx="2">
                  <c:v>72600</c:v>
                </c:pt>
                <c:pt idx="3">
                  <c:v>79860</c:v>
                </c:pt>
                <c:pt idx="4">
                  <c:v>87846</c:v>
                </c:pt>
                <c:pt idx="5">
                  <c:v>96630.6</c:v>
                </c:pt>
                <c:pt idx="6">
                  <c:v>106293.66000000002</c:v>
                </c:pt>
                <c:pt idx="7">
                  <c:v>116923.02600000003</c:v>
                </c:pt>
                <c:pt idx="8">
                  <c:v>128615.32860000004</c:v>
                </c:pt>
                <c:pt idx="9">
                  <c:v>141476.86146000004</c:v>
                </c:pt>
                <c:pt idx="10">
                  <c:v>155624.54760600007</c:v>
                </c:pt>
                <c:pt idx="11">
                  <c:v>171187.00236660009</c:v>
                </c:pt>
                <c:pt idx="12">
                  <c:v>188305.70260326011</c:v>
                </c:pt>
                <c:pt idx="13">
                  <c:v>207136.27286358614</c:v>
                </c:pt>
                <c:pt idx="14">
                  <c:v>227849.90014994476</c:v>
                </c:pt>
                <c:pt idx="15">
                  <c:v>250634.89016493925</c:v>
                </c:pt>
                <c:pt idx="16">
                  <c:v>275698.37918143318</c:v>
                </c:pt>
                <c:pt idx="17">
                  <c:v>303268.21709957655</c:v>
                </c:pt>
                <c:pt idx="18">
                  <c:v>333595.03880953422</c:v>
                </c:pt>
                <c:pt idx="19">
                  <c:v>366954.54269048769</c:v>
                </c:pt>
                <c:pt idx="20">
                  <c:v>403649.99695953651</c:v>
                </c:pt>
                <c:pt idx="21">
                  <c:v>444014.99665549019</c:v>
                </c:pt>
                <c:pt idx="22">
                  <c:v>488416.49632103927</c:v>
                </c:pt>
                <c:pt idx="23">
                  <c:v>537258.14595314325</c:v>
                </c:pt>
                <c:pt idx="24">
                  <c:v>590983.96054845757</c:v>
                </c:pt>
                <c:pt idx="25">
                  <c:v>650082.35660330334</c:v>
                </c:pt>
                <c:pt idx="26">
                  <c:v>715090.59226363373</c:v>
                </c:pt>
                <c:pt idx="27">
                  <c:v>786599.65148999717</c:v>
                </c:pt>
                <c:pt idx="28">
                  <c:v>865259.61663899699</c:v>
                </c:pt>
                <c:pt idx="29">
                  <c:v>951785.57830289681</c:v>
                </c:pt>
                <c:pt idx="30">
                  <c:v>1083333.3333333323</c:v>
                </c:pt>
                <c:pt idx="31">
                  <c:v>1191666.6666666656</c:v>
                </c:pt>
                <c:pt idx="32">
                  <c:v>1310833.3333333323</c:v>
                </c:pt>
                <c:pt idx="33">
                  <c:v>1441916.6666666656</c:v>
                </c:pt>
                <c:pt idx="34">
                  <c:v>1586108.3333333323</c:v>
                </c:pt>
                <c:pt idx="35">
                  <c:v>1744719.1666666658</c:v>
                </c:pt>
                <c:pt idx="36">
                  <c:v>1919191.0833333326</c:v>
                </c:pt>
                <c:pt idx="37">
                  <c:v>2111110.191666666</c:v>
                </c:pt>
                <c:pt idx="38">
                  <c:v>2322221.210833333</c:v>
                </c:pt>
                <c:pt idx="39">
                  <c:v>2554443.3319166666</c:v>
                </c:pt>
                <c:pt idx="40">
                  <c:v>2809887.6651083333</c:v>
                </c:pt>
                <c:pt idx="41">
                  <c:v>3090876.4316191669</c:v>
                </c:pt>
                <c:pt idx="42">
                  <c:v>3399964.074781084</c:v>
                </c:pt>
                <c:pt idx="43">
                  <c:v>3739960.4822591925</c:v>
                </c:pt>
                <c:pt idx="44">
                  <c:v>4113956.5304851122</c:v>
                </c:pt>
                <c:pt idx="45">
                  <c:v>4525352.1835336238</c:v>
                </c:pt>
                <c:pt idx="46">
                  <c:v>4977887.4018869866</c:v>
                </c:pt>
                <c:pt idx="47">
                  <c:v>5475676.1420756858</c:v>
                </c:pt>
                <c:pt idx="48">
                  <c:v>6023243.7562832553</c:v>
                </c:pt>
                <c:pt idx="49">
                  <c:v>6625568.1319115814</c:v>
                </c:pt>
                <c:pt idx="50">
                  <c:v>7288124.9451027401</c:v>
                </c:pt>
                <c:pt idx="51">
                  <c:v>8016937.4396130145</c:v>
                </c:pt>
                <c:pt idx="52">
                  <c:v>8818631.183574317</c:v>
                </c:pt>
                <c:pt idx="53">
                  <c:v>9700494.30193175</c:v>
                </c:pt>
                <c:pt idx="54">
                  <c:v>10670543.732124927</c:v>
                </c:pt>
                <c:pt idx="55">
                  <c:v>11737598.10533742</c:v>
                </c:pt>
                <c:pt idx="56">
                  <c:v>12911357.915871164</c:v>
                </c:pt>
                <c:pt idx="57">
                  <c:v>14202493.707458282</c:v>
                </c:pt>
                <c:pt idx="58">
                  <c:v>15622743.078204112</c:v>
                </c:pt>
                <c:pt idx="59">
                  <c:v>17185017.386024524</c:v>
                </c:pt>
                <c:pt idx="60">
                  <c:v>18903519.124626979</c:v>
                </c:pt>
                <c:pt idx="61">
                  <c:v>20793871.037089679</c:v>
                </c:pt>
                <c:pt idx="62">
                  <c:v>22873258.140798651</c:v>
                </c:pt>
                <c:pt idx="63">
                  <c:v>25160583.954878516</c:v>
                </c:pt>
                <c:pt idx="64">
                  <c:v>27676642.350366369</c:v>
                </c:pt>
                <c:pt idx="65">
                  <c:v>30444306.585403007</c:v>
                </c:pt>
              </c:numCache>
            </c:numRef>
          </c:xVal>
          <c:yVal>
            <c:numRef>
              <c:f>Sheet1!$R$15:$R$239</c:f>
              <c:numCache>
                <c:formatCode>0.00</c:formatCode>
                <c:ptCount val="225"/>
                <c:pt idx="0">
                  <c:v>7.3440000000000366E-2</c:v>
                </c:pt>
                <c:pt idx="1">
                  <c:v>8.8862400000000105E-2</c:v>
                </c:pt>
                <c:pt idx="2">
                  <c:v>0.10752350400000017</c:v>
                </c:pt>
                <c:pt idx="3">
                  <c:v>0.1301034398400002</c:v>
                </c:pt>
                <c:pt idx="4">
                  <c:v>0.15742516220640029</c:v>
                </c:pt>
                <c:pt idx="5">
                  <c:v>0.19048444626974428</c:v>
                </c:pt>
                <c:pt idx="6">
                  <c:v>0.23048617998639068</c:v>
                </c:pt>
                <c:pt idx="7">
                  <c:v>0.27888827778353248</c:v>
                </c:pt>
                <c:pt idx="8">
                  <c:v>0.33745481611807437</c:v>
                </c:pt>
                <c:pt idx="9">
                  <c:v>0.40832032750287073</c:v>
                </c:pt>
                <c:pt idx="10">
                  <c:v>0.49406759627847346</c:v>
                </c:pt>
                <c:pt idx="11">
                  <c:v>0.59782179149695291</c:v>
                </c:pt>
                <c:pt idx="12">
                  <c:v>0.72336436771131307</c:v>
                </c:pt>
                <c:pt idx="13">
                  <c:v>0.8752708849306895</c:v>
                </c:pt>
                <c:pt idx="14">
                  <c:v>1.0590777707661336</c:v>
                </c:pt>
                <c:pt idx="15">
                  <c:v>1.2814841026270205</c:v>
                </c:pt>
                <c:pt idx="16">
                  <c:v>1.5505957641786952</c:v>
                </c:pt>
                <c:pt idx="17">
                  <c:v>1.8762208746562232</c:v>
                </c:pt>
                <c:pt idx="18">
                  <c:v>2.2702272583340264</c:v>
                </c:pt>
                <c:pt idx="19">
                  <c:v>2.7469749825841827</c:v>
                </c:pt>
                <c:pt idx="20">
                  <c:v>3.3238397289268651</c:v>
                </c:pt>
                <c:pt idx="21">
                  <c:v>4.0218460720014946</c:v>
                </c:pt>
                <c:pt idx="22">
                  <c:v>4.8664337471218202</c:v>
                </c:pt>
                <c:pt idx="23">
                  <c:v>5.8883848340174083</c:v>
                </c:pt>
                <c:pt idx="24">
                  <c:v>7.1249456491610177</c:v>
                </c:pt>
                <c:pt idx="25">
                  <c:v>8.6211842354848311</c:v>
                </c:pt>
                <c:pt idx="26">
                  <c:v>10.431632924936729</c:v>
                </c:pt>
                <c:pt idx="27">
                  <c:v>12.622275839173456</c:v>
                </c:pt>
                <c:pt idx="28">
                  <c:v>15.272953765399739</c:v>
                </c:pt>
                <c:pt idx="29">
                  <c:v>18.480274056133663</c:v>
                </c:pt>
                <c:pt idx="30">
                  <c:v>23.941666666666666</c:v>
                </c:pt>
                <c:pt idx="31">
                  <c:v>26.335833333333333</c:v>
                </c:pt>
                <c:pt idx="32">
                  <c:v>28.969416666666667</c:v>
                </c:pt>
                <c:pt idx="33">
                  <c:v>31.866358333333338</c:v>
                </c:pt>
                <c:pt idx="34">
                  <c:v>35.052994166666679</c:v>
                </c:pt>
                <c:pt idx="35">
                  <c:v>38.558293583333345</c:v>
                </c:pt>
                <c:pt idx="36">
                  <c:v>42.414122941666683</c:v>
                </c:pt>
                <c:pt idx="37">
                  <c:v>46.655535235833362</c:v>
                </c:pt>
                <c:pt idx="38">
                  <c:v>51.321088759416703</c:v>
                </c:pt>
                <c:pt idx="39">
                  <c:v>56.453197635358386</c:v>
                </c:pt>
                <c:pt idx="40">
                  <c:v>62.098517398894217</c:v>
                </c:pt>
                <c:pt idx="41">
                  <c:v>68.308369138783647</c:v>
                </c:pt>
                <c:pt idx="42">
                  <c:v>75.139206052662004</c:v>
                </c:pt>
                <c:pt idx="43">
                  <c:v>82.653126657928226</c:v>
                </c:pt>
                <c:pt idx="44">
                  <c:v>90.91843932372106</c:v>
                </c:pt>
                <c:pt idx="45">
                  <c:v>100.01028325609317</c:v>
                </c:pt>
                <c:pt idx="46">
                  <c:v>110.0113115817025</c:v>
                </c:pt>
                <c:pt idx="47">
                  <c:v>121.01244273987277</c:v>
                </c:pt>
                <c:pt idx="48">
                  <c:v>133.11368701386007</c:v>
                </c:pt>
                <c:pt idx="49">
                  <c:v>146.42505571524609</c:v>
                </c:pt>
                <c:pt idx="50">
                  <c:v>161.06756128677071</c:v>
                </c:pt>
                <c:pt idx="51">
                  <c:v>177.17431741544777</c:v>
                </c:pt>
                <c:pt idx="52">
                  <c:v>194.89174915699257</c:v>
                </c:pt>
                <c:pt idx="53">
                  <c:v>214.38092407269187</c:v>
                </c:pt>
                <c:pt idx="54">
                  <c:v>235.81901647996111</c:v>
                </c:pt>
                <c:pt idx="55">
                  <c:v>259.40091812795725</c:v>
                </c:pt>
                <c:pt idx="56">
                  <c:v>285.34100994075294</c:v>
                </c:pt>
                <c:pt idx="57">
                  <c:v>313.87511093482834</c:v>
                </c:pt>
                <c:pt idx="58">
                  <c:v>345.26262202831117</c:v>
                </c:pt>
                <c:pt idx="59">
                  <c:v>379.78888423114233</c:v>
                </c:pt>
                <c:pt idx="60">
                  <c:v>417.76777265425665</c:v>
                </c:pt>
                <c:pt idx="61">
                  <c:v>459.54454991968231</c:v>
                </c:pt>
                <c:pt idx="62">
                  <c:v>505.49900491165062</c:v>
                </c:pt>
                <c:pt idx="63">
                  <c:v>556.04890540281565</c:v>
                </c:pt>
                <c:pt idx="64">
                  <c:v>611.65379594309729</c:v>
                </c:pt>
                <c:pt idx="65">
                  <c:v>672.81917553740709</c:v>
                </c:pt>
              </c:numCache>
            </c:numRef>
          </c:yVal>
          <c:smooth val="0"/>
        </c:ser>
        <c:ser>
          <c:idx val="0"/>
          <c:order val="2"/>
          <c:tx>
            <c:strRef>
              <c:f>Sheet1!$T$14</c:f>
              <c:strCache>
                <c:ptCount val="1"/>
                <c:pt idx="0">
                  <c:v>Flat Market Price</c:v>
                </c:pt>
              </c:strCache>
            </c:strRef>
          </c:tx>
          <c:marker>
            <c:symbol val="none"/>
          </c:marker>
          <c:dPt>
            <c:idx val="0"/>
            <c:marker>
              <c:symbol val="auto"/>
            </c:marker>
            <c:bubble3D val="0"/>
          </c:dPt>
          <c:dLbls>
            <c:dLbl>
              <c:idx val="0"/>
              <c:layout>
                <c:manualLayout>
                  <c:x val="-0.15111524431023016"/>
                  <c:y val="2.3188405797101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Sheet1!$B$15:$B$239</c:f>
              <c:numCache>
                <c:formatCode>#,##0</c:formatCode>
                <c:ptCount val="225"/>
                <c:pt idx="0">
                  <c:v>60000</c:v>
                </c:pt>
                <c:pt idx="1">
                  <c:v>66000</c:v>
                </c:pt>
                <c:pt idx="2">
                  <c:v>72600</c:v>
                </c:pt>
                <c:pt idx="3">
                  <c:v>79860</c:v>
                </c:pt>
                <c:pt idx="4">
                  <c:v>87846</c:v>
                </c:pt>
                <c:pt idx="5">
                  <c:v>96630.6</c:v>
                </c:pt>
                <c:pt idx="6">
                  <c:v>106293.66000000002</c:v>
                </c:pt>
                <c:pt idx="7">
                  <c:v>116923.02600000003</c:v>
                </c:pt>
                <c:pt idx="8">
                  <c:v>128615.32860000004</c:v>
                </c:pt>
                <c:pt idx="9">
                  <c:v>141476.86146000004</c:v>
                </c:pt>
                <c:pt idx="10">
                  <c:v>155624.54760600007</c:v>
                </c:pt>
                <c:pt idx="11">
                  <c:v>171187.00236660009</c:v>
                </c:pt>
                <c:pt idx="12">
                  <c:v>188305.70260326011</c:v>
                </c:pt>
                <c:pt idx="13">
                  <c:v>207136.27286358614</c:v>
                </c:pt>
                <c:pt idx="14">
                  <c:v>227849.90014994476</c:v>
                </c:pt>
                <c:pt idx="15">
                  <c:v>250634.89016493925</c:v>
                </c:pt>
                <c:pt idx="16">
                  <c:v>275698.37918143318</c:v>
                </c:pt>
                <c:pt idx="17">
                  <c:v>303268.21709957655</c:v>
                </c:pt>
                <c:pt idx="18">
                  <c:v>333595.03880953422</c:v>
                </c:pt>
                <c:pt idx="19">
                  <c:v>366954.54269048769</c:v>
                </c:pt>
                <c:pt idx="20">
                  <c:v>403649.99695953651</c:v>
                </c:pt>
                <c:pt idx="21">
                  <c:v>444014.99665549019</c:v>
                </c:pt>
                <c:pt idx="22">
                  <c:v>488416.49632103927</c:v>
                </c:pt>
                <c:pt idx="23">
                  <c:v>537258.14595314325</c:v>
                </c:pt>
                <c:pt idx="24">
                  <c:v>590983.96054845757</c:v>
                </c:pt>
                <c:pt idx="25">
                  <c:v>650082.35660330334</c:v>
                </c:pt>
                <c:pt idx="26">
                  <c:v>715090.59226363373</c:v>
                </c:pt>
                <c:pt idx="27">
                  <c:v>786599.65148999717</c:v>
                </c:pt>
                <c:pt idx="28">
                  <c:v>865259.61663899699</c:v>
                </c:pt>
                <c:pt idx="29">
                  <c:v>951785.57830289681</c:v>
                </c:pt>
                <c:pt idx="30">
                  <c:v>1083333.3333333323</c:v>
                </c:pt>
                <c:pt idx="31">
                  <c:v>1191666.6666666656</c:v>
                </c:pt>
                <c:pt idx="32">
                  <c:v>1310833.3333333323</c:v>
                </c:pt>
                <c:pt idx="33">
                  <c:v>1441916.6666666656</c:v>
                </c:pt>
                <c:pt idx="34">
                  <c:v>1586108.3333333323</c:v>
                </c:pt>
                <c:pt idx="35">
                  <c:v>1744719.1666666658</c:v>
                </c:pt>
                <c:pt idx="36">
                  <c:v>1919191.0833333326</c:v>
                </c:pt>
                <c:pt idx="37">
                  <c:v>2111110.191666666</c:v>
                </c:pt>
                <c:pt idx="38">
                  <c:v>2322221.210833333</c:v>
                </c:pt>
                <c:pt idx="39">
                  <c:v>2554443.3319166666</c:v>
                </c:pt>
                <c:pt idx="40">
                  <c:v>2809887.6651083333</c:v>
                </c:pt>
                <c:pt idx="41">
                  <c:v>3090876.4316191669</c:v>
                </c:pt>
                <c:pt idx="42">
                  <c:v>3399964.074781084</c:v>
                </c:pt>
                <c:pt idx="43">
                  <c:v>3739960.4822591925</c:v>
                </c:pt>
                <c:pt idx="44">
                  <c:v>4113956.5304851122</c:v>
                </c:pt>
                <c:pt idx="45">
                  <c:v>4525352.1835336238</c:v>
                </c:pt>
                <c:pt idx="46">
                  <c:v>4977887.4018869866</c:v>
                </c:pt>
                <c:pt idx="47">
                  <c:v>5475676.1420756858</c:v>
                </c:pt>
                <c:pt idx="48">
                  <c:v>6023243.7562832553</c:v>
                </c:pt>
                <c:pt idx="49">
                  <c:v>6625568.1319115814</c:v>
                </c:pt>
                <c:pt idx="50">
                  <c:v>7288124.9451027401</c:v>
                </c:pt>
                <c:pt idx="51">
                  <c:v>8016937.4396130145</c:v>
                </c:pt>
                <c:pt idx="52">
                  <c:v>8818631.183574317</c:v>
                </c:pt>
                <c:pt idx="53">
                  <c:v>9700494.30193175</c:v>
                </c:pt>
                <c:pt idx="54">
                  <c:v>10670543.732124927</c:v>
                </c:pt>
                <c:pt idx="55">
                  <c:v>11737598.10533742</c:v>
                </c:pt>
                <c:pt idx="56">
                  <c:v>12911357.915871164</c:v>
                </c:pt>
                <c:pt idx="57">
                  <c:v>14202493.707458282</c:v>
                </c:pt>
                <c:pt idx="58">
                  <c:v>15622743.078204112</c:v>
                </c:pt>
                <c:pt idx="59">
                  <c:v>17185017.386024524</c:v>
                </c:pt>
                <c:pt idx="60">
                  <c:v>18903519.124626979</c:v>
                </c:pt>
                <c:pt idx="61">
                  <c:v>20793871.037089679</c:v>
                </c:pt>
                <c:pt idx="62">
                  <c:v>22873258.140798651</c:v>
                </c:pt>
                <c:pt idx="63">
                  <c:v>25160583.954878516</c:v>
                </c:pt>
                <c:pt idx="64">
                  <c:v>27676642.350366369</c:v>
                </c:pt>
                <c:pt idx="65">
                  <c:v>30444306.585403007</c:v>
                </c:pt>
              </c:numCache>
            </c:numRef>
          </c:xVal>
          <c:yVal>
            <c:numRef>
              <c:f>Sheet1!$T$15:$T$239</c:f>
              <c:numCache>
                <c:formatCode>0.00</c:formatCode>
                <c:ptCount val="225"/>
                <c:pt idx="0">
                  <c:v>7.3440000000000366E-2</c:v>
                </c:pt>
                <c:pt idx="1">
                  <c:v>8.0784000000000092E-2</c:v>
                </c:pt>
                <c:pt idx="2">
                  <c:v>8.8862400000000147E-2</c:v>
                </c:pt>
                <c:pt idx="3">
                  <c:v>9.774864000000015E-2</c:v>
                </c:pt>
                <c:pt idx="4">
                  <c:v>0.1075235040000002</c:v>
                </c:pt>
                <c:pt idx="5">
                  <c:v>0.11827585440000017</c:v>
                </c:pt>
                <c:pt idx="6">
                  <c:v>0.13010343984000022</c:v>
                </c:pt>
                <c:pt idx="7">
                  <c:v>0.14311378382400011</c:v>
                </c:pt>
                <c:pt idx="8">
                  <c:v>0.15742516220640013</c:v>
                </c:pt>
                <c:pt idx="9">
                  <c:v>0.17316767842704048</c:v>
                </c:pt>
                <c:pt idx="10">
                  <c:v>0.19048444626974445</c:v>
                </c:pt>
                <c:pt idx="11">
                  <c:v>0.20953289089671887</c:v>
                </c:pt>
                <c:pt idx="12">
                  <c:v>0.23048617998639079</c:v>
                </c:pt>
                <c:pt idx="13">
                  <c:v>0.25353479798503004</c:v>
                </c:pt>
                <c:pt idx="14">
                  <c:v>0.27888827778353287</c:v>
                </c:pt>
                <c:pt idx="15">
                  <c:v>0.30677710556188587</c:v>
                </c:pt>
                <c:pt idx="16">
                  <c:v>0.33745481611807454</c:v>
                </c:pt>
                <c:pt idx="17">
                  <c:v>0.37120029772988228</c:v>
                </c:pt>
                <c:pt idx="18">
                  <c:v>0.40832032750286984</c:v>
                </c:pt>
                <c:pt idx="19">
                  <c:v>0.44915236025315858</c:v>
                </c:pt>
                <c:pt idx="20">
                  <c:v>0.49406759627847496</c:v>
                </c:pt>
                <c:pt idx="21">
                  <c:v>0.54347435590632065</c:v>
                </c:pt>
                <c:pt idx="22">
                  <c:v>0.59782179149695414</c:v>
                </c:pt>
                <c:pt idx="23">
                  <c:v>0.6576039706466501</c:v>
                </c:pt>
                <c:pt idx="24">
                  <c:v>0.72336436771131041</c:v>
                </c:pt>
                <c:pt idx="25">
                  <c:v>0.79570080448244151</c:v>
                </c:pt>
                <c:pt idx="26">
                  <c:v>0.87527088493069249</c:v>
                </c:pt>
                <c:pt idx="27">
                  <c:v>0.96279797342376283</c:v>
                </c:pt>
                <c:pt idx="28">
                  <c:v>1.059077770766129</c:v>
                </c:pt>
                <c:pt idx="29">
                  <c:v>1.1649855478427402</c:v>
                </c:pt>
                <c:pt idx="30">
                  <c:v>1.3260000000000012</c:v>
                </c:pt>
                <c:pt idx="31">
                  <c:v>1.3260000000000012</c:v>
                </c:pt>
                <c:pt idx="32">
                  <c:v>1.3260000000000012</c:v>
                </c:pt>
                <c:pt idx="33">
                  <c:v>1.3260000000000012</c:v>
                </c:pt>
                <c:pt idx="34">
                  <c:v>1.3260000000000012</c:v>
                </c:pt>
                <c:pt idx="35">
                  <c:v>1.3260000000000012</c:v>
                </c:pt>
                <c:pt idx="36">
                  <c:v>1.3260000000000012</c:v>
                </c:pt>
                <c:pt idx="37">
                  <c:v>1.3260000000000012</c:v>
                </c:pt>
                <c:pt idx="38">
                  <c:v>1.3260000000000012</c:v>
                </c:pt>
                <c:pt idx="39">
                  <c:v>1.3260000000000012</c:v>
                </c:pt>
                <c:pt idx="40">
                  <c:v>1.326000000000001</c:v>
                </c:pt>
                <c:pt idx="41">
                  <c:v>1.3260000000000012</c:v>
                </c:pt>
                <c:pt idx="42">
                  <c:v>1.326000000000001</c:v>
                </c:pt>
                <c:pt idx="43">
                  <c:v>1.3260000000000012</c:v>
                </c:pt>
                <c:pt idx="44">
                  <c:v>1.3260000000000012</c:v>
                </c:pt>
                <c:pt idx="45">
                  <c:v>1.3260000000000012</c:v>
                </c:pt>
                <c:pt idx="46">
                  <c:v>1.3260000000000012</c:v>
                </c:pt>
                <c:pt idx="47">
                  <c:v>1.3260000000000012</c:v>
                </c:pt>
                <c:pt idx="48">
                  <c:v>1.3260000000000012</c:v>
                </c:pt>
                <c:pt idx="49">
                  <c:v>1.3260000000000014</c:v>
                </c:pt>
                <c:pt idx="50">
                  <c:v>1.3260000000000012</c:v>
                </c:pt>
                <c:pt idx="51">
                  <c:v>1.3260000000000012</c:v>
                </c:pt>
                <c:pt idx="52">
                  <c:v>1.3260000000000012</c:v>
                </c:pt>
                <c:pt idx="53">
                  <c:v>1.3260000000000012</c:v>
                </c:pt>
                <c:pt idx="54">
                  <c:v>1.3260000000000012</c:v>
                </c:pt>
                <c:pt idx="55">
                  <c:v>1.3260000000000014</c:v>
                </c:pt>
                <c:pt idx="56">
                  <c:v>1.326000000000001</c:v>
                </c:pt>
                <c:pt idx="57">
                  <c:v>1.3260000000000012</c:v>
                </c:pt>
                <c:pt idx="58">
                  <c:v>1.3260000000000012</c:v>
                </c:pt>
                <c:pt idx="59">
                  <c:v>1.3260000000000012</c:v>
                </c:pt>
                <c:pt idx="60">
                  <c:v>1.3260000000000012</c:v>
                </c:pt>
                <c:pt idx="61">
                  <c:v>1.3260000000000012</c:v>
                </c:pt>
                <c:pt idx="62">
                  <c:v>1.3260000000000012</c:v>
                </c:pt>
                <c:pt idx="63">
                  <c:v>1.326000000000001</c:v>
                </c:pt>
                <c:pt idx="64">
                  <c:v>1.3260000000000012</c:v>
                </c:pt>
                <c:pt idx="65">
                  <c:v>1.3260000000000012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418944"/>
        <c:axId val="108441984"/>
      </c:scatterChart>
      <c:valAx>
        <c:axId val="108418944"/>
        <c:scaling>
          <c:orientation val="minMax"/>
          <c:max val="20000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Median</a:t>
                </a:r>
                <a:r>
                  <a:rPr lang="en-US" baseline="0"/>
                  <a:t> Block Size, MB</a:t>
                </a:r>
                <a:endParaRPr lang="en-US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low"/>
        <c:crossAx val="108441984"/>
        <c:crosses val="autoZero"/>
        <c:crossBetween val="midCat"/>
        <c:majorUnit val="500000"/>
        <c:dispUnits>
          <c:builtInUnit val="millions"/>
        </c:dispUnits>
      </c:valAx>
      <c:valAx>
        <c:axId val="108441984"/>
        <c:scaling>
          <c:logBase val="10"/>
          <c:orientation val="minMax"/>
          <c:max val="1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Block Fees,</a:t>
                </a:r>
                <a:r>
                  <a:rPr lang="en-US" baseline="0"/>
                  <a:t> USD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6.3613938348601351E-2"/>
              <c:y val="0.39241424169804867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108418944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39868959653762204"/>
          <c:y val="0.75341892046102943"/>
          <c:w val="0.43287106983751023"/>
          <c:h val="9.5456578797215558E-2"/>
        </c:manualLayout>
      </c:layout>
      <c:overlay val="1"/>
      <c:spPr>
        <a:solidFill>
          <a:schemeClr val="bg1"/>
        </a:solidFill>
        <a:ln>
          <a:solidFill>
            <a:schemeClr val="accent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Block Size</a:t>
            </a:r>
            <a:r>
              <a:rPr lang="en-US" baseline="0"/>
              <a:t> Sustainability Cost</a:t>
            </a:r>
            <a:endParaRPr lang="en-US"/>
          </a:p>
          <a:p>
            <a:pPr>
              <a:defRPr/>
            </a:pPr>
            <a:r>
              <a:rPr lang="en-US" sz="1200"/>
              <a:t>(</a:t>
            </a:r>
            <a:r>
              <a:rPr lang="en-US" sz="1200" baseline="0"/>
              <a:t>new penalty, alternative min. fee)</a:t>
            </a:r>
            <a:endParaRPr lang="en-US" sz="1200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Sheet1!$P$14</c:f>
              <c:strCache>
                <c:ptCount val="1"/>
                <c:pt idx="0">
                  <c:v>Square Market Price</c:v>
                </c:pt>
              </c:strCache>
            </c:strRef>
          </c:tx>
          <c:marker>
            <c:symbol val="none"/>
          </c:marker>
          <c:xVal>
            <c:numRef>
              <c:f>Sheet1!$B$15:$B$239</c:f>
              <c:numCache>
                <c:formatCode>#,##0</c:formatCode>
                <c:ptCount val="225"/>
                <c:pt idx="0">
                  <c:v>60000</c:v>
                </c:pt>
                <c:pt idx="1">
                  <c:v>66000</c:v>
                </c:pt>
                <c:pt idx="2">
                  <c:v>72600</c:v>
                </c:pt>
                <c:pt idx="3">
                  <c:v>79860</c:v>
                </c:pt>
                <c:pt idx="4">
                  <c:v>87846</c:v>
                </c:pt>
                <c:pt idx="5">
                  <c:v>96630.6</c:v>
                </c:pt>
                <c:pt idx="6">
                  <c:v>106293.66000000002</c:v>
                </c:pt>
                <c:pt idx="7">
                  <c:v>116923.02600000003</c:v>
                </c:pt>
                <c:pt idx="8">
                  <c:v>128615.32860000004</c:v>
                </c:pt>
                <c:pt idx="9">
                  <c:v>141476.86146000004</c:v>
                </c:pt>
                <c:pt idx="10">
                  <c:v>155624.54760600007</c:v>
                </c:pt>
                <c:pt idx="11">
                  <c:v>171187.00236660009</c:v>
                </c:pt>
                <c:pt idx="12">
                  <c:v>188305.70260326011</c:v>
                </c:pt>
                <c:pt idx="13">
                  <c:v>207136.27286358614</c:v>
                </c:pt>
                <c:pt idx="14">
                  <c:v>227849.90014994476</c:v>
                </c:pt>
                <c:pt idx="15">
                  <c:v>250634.89016493925</c:v>
                </c:pt>
                <c:pt idx="16">
                  <c:v>275698.37918143318</c:v>
                </c:pt>
                <c:pt idx="17">
                  <c:v>303268.21709957655</c:v>
                </c:pt>
                <c:pt idx="18">
                  <c:v>333595.03880953422</c:v>
                </c:pt>
                <c:pt idx="19">
                  <c:v>366954.54269048769</c:v>
                </c:pt>
                <c:pt idx="20">
                  <c:v>403649.99695953651</c:v>
                </c:pt>
                <c:pt idx="21">
                  <c:v>444014.99665549019</c:v>
                </c:pt>
                <c:pt idx="22">
                  <c:v>488416.49632103927</c:v>
                </c:pt>
                <c:pt idx="23">
                  <c:v>537258.14595314325</c:v>
                </c:pt>
                <c:pt idx="24">
                  <c:v>590983.96054845757</c:v>
                </c:pt>
                <c:pt idx="25">
                  <c:v>650082.35660330334</c:v>
                </c:pt>
                <c:pt idx="26">
                  <c:v>715090.59226363373</c:v>
                </c:pt>
                <c:pt idx="27">
                  <c:v>786599.65148999717</c:v>
                </c:pt>
                <c:pt idx="28">
                  <c:v>865259.61663899699</c:v>
                </c:pt>
                <c:pt idx="29">
                  <c:v>951785.57830289681</c:v>
                </c:pt>
                <c:pt idx="30">
                  <c:v>1083333.3333333323</c:v>
                </c:pt>
                <c:pt idx="31">
                  <c:v>1191666.6666666656</c:v>
                </c:pt>
                <c:pt idx="32">
                  <c:v>1310833.3333333323</c:v>
                </c:pt>
                <c:pt idx="33">
                  <c:v>1441916.6666666656</c:v>
                </c:pt>
                <c:pt idx="34">
                  <c:v>1586108.3333333323</c:v>
                </c:pt>
                <c:pt idx="35">
                  <c:v>1744719.1666666658</c:v>
                </c:pt>
                <c:pt idx="36">
                  <c:v>1919191.0833333326</c:v>
                </c:pt>
                <c:pt idx="37">
                  <c:v>2111110.191666666</c:v>
                </c:pt>
                <c:pt idx="38">
                  <c:v>2322221.210833333</c:v>
                </c:pt>
                <c:pt idx="39">
                  <c:v>2554443.3319166666</c:v>
                </c:pt>
                <c:pt idx="40">
                  <c:v>2809887.6651083333</c:v>
                </c:pt>
                <c:pt idx="41">
                  <c:v>3090876.4316191669</c:v>
                </c:pt>
                <c:pt idx="42">
                  <c:v>3399964.074781084</c:v>
                </c:pt>
                <c:pt idx="43">
                  <c:v>3739960.4822591925</c:v>
                </c:pt>
                <c:pt idx="44">
                  <c:v>4113956.5304851122</c:v>
                </c:pt>
                <c:pt idx="45">
                  <c:v>4525352.1835336238</c:v>
                </c:pt>
                <c:pt idx="46">
                  <c:v>4977887.4018869866</c:v>
                </c:pt>
                <c:pt idx="47">
                  <c:v>5475676.1420756858</c:v>
                </c:pt>
                <c:pt idx="48">
                  <c:v>6023243.7562832553</c:v>
                </c:pt>
                <c:pt idx="49">
                  <c:v>6625568.1319115814</c:v>
                </c:pt>
                <c:pt idx="50">
                  <c:v>7288124.9451027401</c:v>
                </c:pt>
                <c:pt idx="51">
                  <c:v>8016937.4396130145</c:v>
                </c:pt>
                <c:pt idx="52">
                  <c:v>8818631.183574317</c:v>
                </c:pt>
                <c:pt idx="53">
                  <c:v>9700494.30193175</c:v>
                </c:pt>
                <c:pt idx="54">
                  <c:v>10670543.732124927</c:v>
                </c:pt>
                <c:pt idx="55">
                  <c:v>11737598.10533742</c:v>
                </c:pt>
                <c:pt idx="56">
                  <c:v>12911357.915871164</c:v>
                </c:pt>
                <c:pt idx="57">
                  <c:v>14202493.707458282</c:v>
                </c:pt>
                <c:pt idx="58">
                  <c:v>15622743.078204112</c:v>
                </c:pt>
                <c:pt idx="59">
                  <c:v>17185017.386024524</c:v>
                </c:pt>
                <c:pt idx="60">
                  <c:v>18903519.124626979</c:v>
                </c:pt>
                <c:pt idx="61">
                  <c:v>20793871.037089679</c:v>
                </c:pt>
                <c:pt idx="62">
                  <c:v>22873258.140798651</c:v>
                </c:pt>
                <c:pt idx="63">
                  <c:v>25160583.954878516</c:v>
                </c:pt>
                <c:pt idx="64">
                  <c:v>27676642.350366369</c:v>
                </c:pt>
                <c:pt idx="65">
                  <c:v>30444306.585403007</c:v>
                </c:pt>
              </c:numCache>
            </c:numRef>
          </c:xVal>
          <c:yVal>
            <c:numRef>
              <c:f>Sheet1!$P$15:$P$239</c:f>
              <c:numCache>
                <c:formatCode>0.00</c:formatCode>
                <c:ptCount val="225"/>
                <c:pt idx="0">
                  <c:v>1.5912000000000075E-2</c:v>
                </c:pt>
                <c:pt idx="1">
                  <c:v>1.9253520000000024E-2</c:v>
                </c:pt>
                <c:pt idx="2">
                  <c:v>2.3296759200000038E-2</c:v>
                </c:pt>
                <c:pt idx="3">
                  <c:v>2.8189078632000042E-2</c:v>
                </c:pt>
                <c:pt idx="4">
                  <c:v>3.4108785144720065E-2</c:v>
                </c:pt>
                <c:pt idx="5">
                  <c:v>4.1271630025111271E-2</c:v>
                </c:pt>
                <c:pt idx="6">
                  <c:v>4.993867233038464E-2</c:v>
                </c:pt>
                <c:pt idx="7">
                  <c:v>6.0425793519765382E-2</c:v>
                </c:pt>
                <c:pt idx="8">
                  <c:v>7.3115210158916116E-2</c:v>
                </c:pt>
                <c:pt idx="9">
                  <c:v>8.8469404292288653E-2</c:v>
                </c:pt>
                <c:pt idx="10">
                  <c:v>0.10704797919366925</c:v>
                </c:pt>
                <c:pt idx="11">
                  <c:v>0.12952805482433979</c:v>
                </c:pt>
                <c:pt idx="12">
                  <c:v>0.15672894633745116</c:v>
                </c:pt>
                <c:pt idx="13">
                  <c:v>0.18964202506831604</c:v>
                </c:pt>
                <c:pt idx="14">
                  <c:v>0.22946685033266226</c:v>
                </c:pt>
                <c:pt idx="15">
                  <c:v>0.27765488890252121</c:v>
                </c:pt>
                <c:pt idx="16">
                  <c:v>0.33596241557205059</c:v>
                </c:pt>
                <c:pt idx="17">
                  <c:v>0.40651452284218159</c:v>
                </c:pt>
                <c:pt idx="18">
                  <c:v>0.49188257263903906</c:v>
                </c:pt>
                <c:pt idx="19">
                  <c:v>0.59517791289323962</c:v>
                </c:pt>
                <c:pt idx="20">
                  <c:v>0.7201652746008208</c:v>
                </c:pt>
                <c:pt idx="21">
                  <c:v>0.87139998226699045</c:v>
                </c:pt>
                <c:pt idx="22">
                  <c:v>1.0543939785430612</c:v>
                </c:pt>
                <c:pt idx="23">
                  <c:v>1.2758167140371051</c:v>
                </c:pt>
                <c:pt idx="24">
                  <c:v>1.5437382239848871</c:v>
                </c:pt>
                <c:pt idx="25">
                  <c:v>1.8679232510217134</c:v>
                </c:pt>
                <c:pt idx="26">
                  <c:v>2.2601871337362911</c:v>
                </c:pt>
                <c:pt idx="27">
                  <c:v>2.7348264318209159</c:v>
                </c:pt>
                <c:pt idx="28">
                  <c:v>3.3091399825032766</c:v>
                </c:pt>
                <c:pt idx="29">
                  <c:v>4.0040593788289591</c:v>
                </c:pt>
                <c:pt idx="30">
                  <c:v>5.1873611111111115</c:v>
                </c:pt>
                <c:pt idx="31">
                  <c:v>5.18736111111114</c:v>
                </c:pt>
                <c:pt idx="32">
                  <c:v>5.1873611111110653</c:v>
                </c:pt>
                <c:pt idx="33">
                  <c:v>5.1873611111110556</c:v>
                </c:pt>
                <c:pt idx="34">
                  <c:v>5.1873611111111062</c:v>
                </c:pt>
                <c:pt idx="35">
                  <c:v>5.1873611111110653</c:v>
                </c:pt>
                <c:pt idx="36">
                  <c:v>5.1873611111111746</c:v>
                </c:pt>
                <c:pt idx="37">
                  <c:v>5.1873611111110209</c:v>
                </c:pt>
                <c:pt idx="38">
                  <c:v>5.1873611111111719</c:v>
                </c:pt>
                <c:pt idx="39">
                  <c:v>5.1873611111110094</c:v>
                </c:pt>
                <c:pt idx="40">
                  <c:v>5.1873611111110085</c:v>
                </c:pt>
                <c:pt idx="41">
                  <c:v>5.1873611111110085</c:v>
                </c:pt>
                <c:pt idx="42">
                  <c:v>5.1873611111109819</c:v>
                </c:pt>
                <c:pt idx="43">
                  <c:v>5.1873611111111639</c:v>
                </c:pt>
                <c:pt idx="44">
                  <c:v>5.1873611111109632</c:v>
                </c:pt>
                <c:pt idx="45">
                  <c:v>5.1873611111110742</c:v>
                </c:pt>
                <c:pt idx="46">
                  <c:v>5.187361111111235</c:v>
                </c:pt>
                <c:pt idx="47">
                  <c:v>5.1873611111112794</c:v>
                </c:pt>
                <c:pt idx="48">
                  <c:v>5.1873611111109401</c:v>
                </c:pt>
                <c:pt idx="49">
                  <c:v>5.1873611111111</c:v>
                </c:pt>
                <c:pt idx="50">
                  <c:v>5.1873611111108664</c:v>
                </c:pt>
                <c:pt idx="51">
                  <c:v>5.1873611111113185</c:v>
                </c:pt>
                <c:pt idx="52">
                  <c:v>5.187361111110893</c:v>
                </c:pt>
                <c:pt idx="53">
                  <c:v>5.1873611111109721</c:v>
                </c:pt>
                <c:pt idx="54">
                  <c:v>5.1873611111113176</c:v>
                </c:pt>
                <c:pt idx="55">
                  <c:v>5.1873611111109401</c:v>
                </c:pt>
                <c:pt idx="56">
                  <c:v>5.1873611111111479</c:v>
                </c:pt>
                <c:pt idx="57">
                  <c:v>5.1873611111106914</c:v>
                </c:pt>
                <c:pt idx="58">
                  <c:v>5.187361111111195</c:v>
                </c:pt>
                <c:pt idx="59">
                  <c:v>5.1873611111109197</c:v>
                </c:pt>
                <c:pt idx="60">
                  <c:v>5.1873611111104641</c:v>
                </c:pt>
                <c:pt idx="61">
                  <c:v>5.187361111110631</c:v>
                </c:pt>
                <c:pt idx="62">
                  <c:v>5.1873611111113673</c:v>
                </c:pt>
                <c:pt idx="63">
                  <c:v>5.1873611111119766</c:v>
                </c:pt>
                <c:pt idx="64">
                  <c:v>5.1873611111104161</c:v>
                </c:pt>
                <c:pt idx="65">
                  <c:v>5.1873611111113984</c:v>
                </c:pt>
              </c:numCache>
            </c:numRef>
          </c:yVal>
          <c:smooth val="0"/>
        </c:ser>
        <c:ser>
          <c:idx val="3"/>
          <c:order val="1"/>
          <c:tx>
            <c:strRef>
              <c:f>Sheet1!$O$14</c:f>
              <c:strCache>
                <c:ptCount val="1"/>
                <c:pt idx="0">
                  <c:v>Linear Market Price</c:v>
                </c:pt>
              </c:strCache>
            </c:strRef>
          </c:tx>
          <c:marker>
            <c:symbol val="none"/>
          </c:marker>
          <c:xVal>
            <c:numRef>
              <c:f>Sheet1!$B$15:$B$239</c:f>
              <c:numCache>
                <c:formatCode>#,##0</c:formatCode>
                <c:ptCount val="225"/>
                <c:pt idx="0">
                  <c:v>60000</c:v>
                </c:pt>
                <c:pt idx="1">
                  <c:v>66000</c:v>
                </c:pt>
                <c:pt idx="2">
                  <c:v>72600</c:v>
                </c:pt>
                <c:pt idx="3">
                  <c:v>79860</c:v>
                </c:pt>
                <c:pt idx="4">
                  <c:v>87846</c:v>
                </c:pt>
                <c:pt idx="5">
                  <c:v>96630.6</c:v>
                </c:pt>
                <c:pt idx="6">
                  <c:v>106293.66000000002</c:v>
                </c:pt>
                <c:pt idx="7">
                  <c:v>116923.02600000003</c:v>
                </c:pt>
                <c:pt idx="8">
                  <c:v>128615.32860000004</c:v>
                </c:pt>
                <c:pt idx="9">
                  <c:v>141476.86146000004</c:v>
                </c:pt>
                <c:pt idx="10">
                  <c:v>155624.54760600007</c:v>
                </c:pt>
                <c:pt idx="11">
                  <c:v>171187.00236660009</c:v>
                </c:pt>
                <c:pt idx="12">
                  <c:v>188305.70260326011</c:v>
                </c:pt>
                <c:pt idx="13">
                  <c:v>207136.27286358614</c:v>
                </c:pt>
                <c:pt idx="14">
                  <c:v>227849.90014994476</c:v>
                </c:pt>
                <c:pt idx="15">
                  <c:v>250634.89016493925</c:v>
                </c:pt>
                <c:pt idx="16">
                  <c:v>275698.37918143318</c:v>
                </c:pt>
                <c:pt idx="17">
                  <c:v>303268.21709957655</c:v>
                </c:pt>
                <c:pt idx="18">
                  <c:v>333595.03880953422</c:v>
                </c:pt>
                <c:pt idx="19">
                  <c:v>366954.54269048769</c:v>
                </c:pt>
                <c:pt idx="20">
                  <c:v>403649.99695953651</c:v>
                </c:pt>
                <c:pt idx="21">
                  <c:v>444014.99665549019</c:v>
                </c:pt>
                <c:pt idx="22">
                  <c:v>488416.49632103927</c:v>
                </c:pt>
                <c:pt idx="23">
                  <c:v>537258.14595314325</c:v>
                </c:pt>
                <c:pt idx="24">
                  <c:v>590983.96054845757</c:v>
                </c:pt>
                <c:pt idx="25">
                  <c:v>650082.35660330334</c:v>
                </c:pt>
                <c:pt idx="26">
                  <c:v>715090.59226363373</c:v>
                </c:pt>
                <c:pt idx="27">
                  <c:v>786599.65148999717</c:v>
                </c:pt>
                <c:pt idx="28">
                  <c:v>865259.61663899699</c:v>
                </c:pt>
                <c:pt idx="29">
                  <c:v>951785.57830289681</c:v>
                </c:pt>
                <c:pt idx="30">
                  <c:v>1083333.3333333323</c:v>
                </c:pt>
                <c:pt idx="31">
                  <c:v>1191666.6666666656</c:v>
                </c:pt>
                <c:pt idx="32">
                  <c:v>1310833.3333333323</c:v>
                </c:pt>
                <c:pt idx="33">
                  <c:v>1441916.6666666656</c:v>
                </c:pt>
                <c:pt idx="34">
                  <c:v>1586108.3333333323</c:v>
                </c:pt>
                <c:pt idx="35">
                  <c:v>1744719.1666666658</c:v>
                </c:pt>
                <c:pt idx="36">
                  <c:v>1919191.0833333326</c:v>
                </c:pt>
                <c:pt idx="37">
                  <c:v>2111110.191666666</c:v>
                </c:pt>
                <c:pt idx="38">
                  <c:v>2322221.210833333</c:v>
                </c:pt>
                <c:pt idx="39">
                  <c:v>2554443.3319166666</c:v>
                </c:pt>
                <c:pt idx="40">
                  <c:v>2809887.6651083333</c:v>
                </c:pt>
                <c:pt idx="41">
                  <c:v>3090876.4316191669</c:v>
                </c:pt>
                <c:pt idx="42">
                  <c:v>3399964.074781084</c:v>
                </c:pt>
                <c:pt idx="43">
                  <c:v>3739960.4822591925</c:v>
                </c:pt>
                <c:pt idx="44">
                  <c:v>4113956.5304851122</c:v>
                </c:pt>
                <c:pt idx="45">
                  <c:v>4525352.1835336238</c:v>
                </c:pt>
                <c:pt idx="46">
                  <c:v>4977887.4018869866</c:v>
                </c:pt>
                <c:pt idx="47">
                  <c:v>5475676.1420756858</c:v>
                </c:pt>
                <c:pt idx="48">
                  <c:v>6023243.7562832553</c:v>
                </c:pt>
                <c:pt idx="49">
                  <c:v>6625568.1319115814</c:v>
                </c:pt>
                <c:pt idx="50">
                  <c:v>7288124.9451027401</c:v>
                </c:pt>
                <c:pt idx="51">
                  <c:v>8016937.4396130145</c:v>
                </c:pt>
                <c:pt idx="52">
                  <c:v>8818631.183574317</c:v>
                </c:pt>
                <c:pt idx="53">
                  <c:v>9700494.30193175</c:v>
                </c:pt>
                <c:pt idx="54">
                  <c:v>10670543.732124927</c:v>
                </c:pt>
                <c:pt idx="55">
                  <c:v>11737598.10533742</c:v>
                </c:pt>
                <c:pt idx="56">
                  <c:v>12911357.915871164</c:v>
                </c:pt>
                <c:pt idx="57">
                  <c:v>14202493.707458282</c:v>
                </c:pt>
                <c:pt idx="58">
                  <c:v>15622743.078204112</c:v>
                </c:pt>
                <c:pt idx="59">
                  <c:v>17185017.386024524</c:v>
                </c:pt>
                <c:pt idx="60">
                  <c:v>18903519.124626979</c:v>
                </c:pt>
                <c:pt idx="61">
                  <c:v>20793871.037089679</c:v>
                </c:pt>
                <c:pt idx="62">
                  <c:v>22873258.140798651</c:v>
                </c:pt>
                <c:pt idx="63">
                  <c:v>25160583.954878516</c:v>
                </c:pt>
                <c:pt idx="64">
                  <c:v>27676642.350366369</c:v>
                </c:pt>
                <c:pt idx="65">
                  <c:v>30444306.585403007</c:v>
                </c:pt>
              </c:numCache>
            </c:numRef>
          </c:xVal>
          <c:yVal>
            <c:numRef>
              <c:f>Sheet1!$O$15:$O$239</c:f>
              <c:numCache>
                <c:formatCode>0.00</c:formatCode>
                <c:ptCount val="225"/>
                <c:pt idx="0">
                  <c:v>1.5912000000000075E-2</c:v>
                </c:pt>
                <c:pt idx="1">
                  <c:v>1.7503200000000021E-2</c:v>
                </c:pt>
                <c:pt idx="2">
                  <c:v>1.9253520000000031E-2</c:v>
                </c:pt>
                <c:pt idx="3">
                  <c:v>2.1178872000000033E-2</c:v>
                </c:pt>
                <c:pt idx="4">
                  <c:v>2.3296759200000048E-2</c:v>
                </c:pt>
                <c:pt idx="5">
                  <c:v>2.5626435120000037E-2</c:v>
                </c:pt>
                <c:pt idx="6">
                  <c:v>2.8189078632000045E-2</c:v>
                </c:pt>
                <c:pt idx="7">
                  <c:v>3.1007986495200032E-2</c:v>
                </c:pt>
                <c:pt idx="8">
                  <c:v>3.410878514472003E-2</c:v>
                </c:pt>
                <c:pt idx="9">
                  <c:v>3.7519663659192105E-2</c:v>
                </c:pt>
                <c:pt idx="10">
                  <c:v>4.1271630025111299E-2</c:v>
                </c:pt>
                <c:pt idx="11">
                  <c:v>4.5398793027622425E-2</c:v>
                </c:pt>
                <c:pt idx="12">
                  <c:v>4.9938672330384667E-2</c:v>
                </c:pt>
                <c:pt idx="13">
                  <c:v>5.4932539563423165E-2</c:v>
                </c:pt>
                <c:pt idx="14">
                  <c:v>6.0425793519765444E-2</c:v>
                </c:pt>
                <c:pt idx="15">
                  <c:v>6.646837287174194E-2</c:v>
                </c:pt>
                <c:pt idx="16">
                  <c:v>7.3115210158916144E-2</c:v>
                </c:pt>
                <c:pt idx="17">
                  <c:v>8.0426731174807822E-2</c:v>
                </c:pt>
                <c:pt idx="18">
                  <c:v>8.8469404292288473E-2</c:v>
                </c:pt>
                <c:pt idx="19">
                  <c:v>9.7316344721517678E-2</c:v>
                </c:pt>
                <c:pt idx="20">
                  <c:v>0.10704797919366957</c:v>
                </c:pt>
                <c:pt idx="21">
                  <c:v>0.11775277711303615</c:v>
                </c:pt>
                <c:pt idx="22">
                  <c:v>0.12952805482434007</c:v>
                </c:pt>
                <c:pt idx="23">
                  <c:v>0.1424808603067742</c:v>
                </c:pt>
                <c:pt idx="24">
                  <c:v>0.1567289463374506</c:v>
                </c:pt>
                <c:pt idx="25">
                  <c:v>0.17240184097119565</c:v>
                </c:pt>
                <c:pt idx="26">
                  <c:v>0.18964202506831671</c:v>
                </c:pt>
                <c:pt idx="27">
                  <c:v>0.2086062275751486</c:v>
                </c:pt>
                <c:pt idx="28">
                  <c:v>0.22946685033266132</c:v>
                </c:pt>
                <c:pt idx="29">
                  <c:v>0.25241353536592703</c:v>
                </c:pt>
                <c:pt idx="30">
                  <c:v>0.28730000000000022</c:v>
                </c:pt>
                <c:pt idx="31">
                  <c:v>0.2611818181818199</c:v>
                </c:pt>
                <c:pt idx="32">
                  <c:v>0.23743801652892371</c:v>
                </c:pt>
                <c:pt idx="33">
                  <c:v>0.21585274229902113</c:v>
                </c:pt>
                <c:pt idx="34">
                  <c:v>0.19622976572638479</c:v>
                </c:pt>
                <c:pt idx="35">
                  <c:v>0.1783906961148938</c:v>
                </c:pt>
                <c:pt idx="36">
                  <c:v>0.1621733601044523</c:v>
                </c:pt>
                <c:pt idx="37">
                  <c:v>0.14743032736767955</c:v>
                </c:pt>
                <c:pt idx="38">
                  <c:v>0.13402757033425799</c:v>
                </c:pt>
                <c:pt idx="39">
                  <c:v>0.12184324575841252</c:v>
                </c:pt>
                <c:pt idx="40">
                  <c:v>0.11076658705310229</c:v>
                </c:pt>
                <c:pt idx="41">
                  <c:v>0.10069689732100207</c:v>
                </c:pt>
                <c:pt idx="42">
                  <c:v>9.1542633928183209E-2</c:v>
                </c:pt>
                <c:pt idx="43">
                  <c:v>8.3220576298351279E-2</c:v>
                </c:pt>
                <c:pt idx="44">
                  <c:v>7.5655069362134619E-2</c:v>
                </c:pt>
                <c:pt idx="45">
                  <c:v>6.8777335783760205E-2</c:v>
                </c:pt>
                <c:pt idx="46">
                  <c:v>6.2524850712511196E-2</c:v>
                </c:pt>
                <c:pt idx="47">
                  <c:v>5.6840773375010666E-2</c:v>
                </c:pt>
                <c:pt idx="48">
                  <c:v>5.1673430340915406E-2</c:v>
                </c:pt>
                <c:pt idx="49">
                  <c:v>4.6975845764469996E-2</c:v>
                </c:pt>
                <c:pt idx="50">
                  <c:v>4.2705314331334433E-2</c:v>
                </c:pt>
                <c:pt idx="51">
                  <c:v>3.8823013028489228E-2</c:v>
                </c:pt>
                <c:pt idx="52">
                  <c:v>3.5293648207714579E-2</c:v>
                </c:pt>
                <c:pt idx="53">
                  <c:v>3.2085134734286466E-2</c:v>
                </c:pt>
                <c:pt idx="54">
                  <c:v>2.9168304303898725E-2</c:v>
                </c:pt>
                <c:pt idx="55">
                  <c:v>2.6516640276269633E-2</c:v>
                </c:pt>
                <c:pt idx="56">
                  <c:v>2.4106036614791538E-2</c:v>
                </c:pt>
                <c:pt idx="57">
                  <c:v>2.1914578740717651E-2</c:v>
                </c:pt>
                <c:pt idx="58">
                  <c:v>1.9922344309745252E-2</c:v>
                </c:pt>
                <c:pt idx="59">
                  <c:v>1.8111222099767444E-2</c:v>
                </c:pt>
                <c:pt idx="60">
                  <c:v>1.6464747363423501E-2</c:v>
                </c:pt>
                <c:pt idx="61">
                  <c:v>1.4967952148567302E-2</c:v>
                </c:pt>
                <c:pt idx="62">
                  <c:v>1.3607229225972206E-2</c:v>
                </c:pt>
                <c:pt idx="63">
                  <c:v>1.2370208387248911E-2</c:v>
                </c:pt>
                <c:pt idx="64">
                  <c:v>1.1245643988404717E-2</c:v>
                </c:pt>
                <c:pt idx="65">
                  <c:v>1.0223312716733495E-2</c:v>
                </c:pt>
              </c:numCache>
            </c:numRef>
          </c:yVal>
          <c:smooth val="0"/>
        </c:ser>
        <c:ser>
          <c:idx val="0"/>
          <c:order val="2"/>
          <c:tx>
            <c:strRef>
              <c:f>Sheet1!$Q$14</c:f>
              <c:strCache>
                <c:ptCount val="1"/>
                <c:pt idx="0">
                  <c:v>Flat Market Price</c:v>
                </c:pt>
              </c:strCache>
            </c:strRef>
          </c:tx>
          <c:marker>
            <c:symbol val="none"/>
          </c:marker>
          <c:dPt>
            <c:idx val="0"/>
            <c:marker>
              <c:symbol val="auto"/>
            </c:marker>
            <c:bubble3D val="0"/>
          </c:dPt>
          <c:dLbls>
            <c:dLbl>
              <c:idx val="0"/>
              <c:layout>
                <c:manualLayout>
                  <c:x val="-0.15508787010326949"/>
                  <c:y val="-2.3188405797101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Sheet1!$B$15:$B$239</c:f>
              <c:numCache>
                <c:formatCode>#,##0</c:formatCode>
                <c:ptCount val="225"/>
                <c:pt idx="0">
                  <c:v>60000</c:v>
                </c:pt>
                <c:pt idx="1">
                  <c:v>66000</c:v>
                </c:pt>
                <c:pt idx="2">
                  <c:v>72600</c:v>
                </c:pt>
                <c:pt idx="3">
                  <c:v>79860</c:v>
                </c:pt>
                <c:pt idx="4">
                  <c:v>87846</c:v>
                </c:pt>
                <c:pt idx="5">
                  <c:v>96630.6</c:v>
                </c:pt>
                <c:pt idx="6">
                  <c:v>106293.66000000002</c:v>
                </c:pt>
                <c:pt idx="7">
                  <c:v>116923.02600000003</c:v>
                </c:pt>
                <c:pt idx="8">
                  <c:v>128615.32860000004</c:v>
                </c:pt>
                <c:pt idx="9">
                  <c:v>141476.86146000004</c:v>
                </c:pt>
                <c:pt idx="10">
                  <c:v>155624.54760600007</c:v>
                </c:pt>
                <c:pt idx="11">
                  <c:v>171187.00236660009</c:v>
                </c:pt>
                <c:pt idx="12">
                  <c:v>188305.70260326011</c:v>
                </c:pt>
                <c:pt idx="13">
                  <c:v>207136.27286358614</c:v>
                </c:pt>
                <c:pt idx="14">
                  <c:v>227849.90014994476</c:v>
                </c:pt>
                <c:pt idx="15">
                  <c:v>250634.89016493925</c:v>
                </c:pt>
                <c:pt idx="16">
                  <c:v>275698.37918143318</c:v>
                </c:pt>
                <c:pt idx="17">
                  <c:v>303268.21709957655</c:v>
                </c:pt>
                <c:pt idx="18">
                  <c:v>333595.03880953422</c:v>
                </c:pt>
                <c:pt idx="19">
                  <c:v>366954.54269048769</c:v>
                </c:pt>
                <c:pt idx="20">
                  <c:v>403649.99695953651</c:v>
                </c:pt>
                <c:pt idx="21">
                  <c:v>444014.99665549019</c:v>
                </c:pt>
                <c:pt idx="22">
                  <c:v>488416.49632103927</c:v>
                </c:pt>
                <c:pt idx="23">
                  <c:v>537258.14595314325</c:v>
                </c:pt>
                <c:pt idx="24">
                  <c:v>590983.96054845757</c:v>
                </c:pt>
                <c:pt idx="25">
                  <c:v>650082.35660330334</c:v>
                </c:pt>
                <c:pt idx="26">
                  <c:v>715090.59226363373</c:v>
                </c:pt>
                <c:pt idx="27">
                  <c:v>786599.65148999717</c:v>
                </c:pt>
                <c:pt idx="28">
                  <c:v>865259.61663899699</c:v>
                </c:pt>
                <c:pt idx="29">
                  <c:v>951785.57830289681</c:v>
                </c:pt>
                <c:pt idx="30">
                  <c:v>1083333.3333333323</c:v>
                </c:pt>
                <c:pt idx="31">
                  <c:v>1191666.6666666656</c:v>
                </c:pt>
                <c:pt idx="32">
                  <c:v>1310833.3333333323</c:v>
                </c:pt>
                <c:pt idx="33">
                  <c:v>1441916.6666666656</c:v>
                </c:pt>
                <c:pt idx="34">
                  <c:v>1586108.3333333323</c:v>
                </c:pt>
                <c:pt idx="35">
                  <c:v>1744719.1666666658</c:v>
                </c:pt>
                <c:pt idx="36">
                  <c:v>1919191.0833333326</c:v>
                </c:pt>
                <c:pt idx="37">
                  <c:v>2111110.191666666</c:v>
                </c:pt>
                <c:pt idx="38">
                  <c:v>2322221.210833333</c:v>
                </c:pt>
                <c:pt idx="39">
                  <c:v>2554443.3319166666</c:v>
                </c:pt>
                <c:pt idx="40">
                  <c:v>2809887.6651083333</c:v>
                </c:pt>
                <c:pt idx="41">
                  <c:v>3090876.4316191669</c:v>
                </c:pt>
                <c:pt idx="42">
                  <c:v>3399964.074781084</c:v>
                </c:pt>
                <c:pt idx="43">
                  <c:v>3739960.4822591925</c:v>
                </c:pt>
                <c:pt idx="44">
                  <c:v>4113956.5304851122</c:v>
                </c:pt>
                <c:pt idx="45">
                  <c:v>4525352.1835336238</c:v>
                </c:pt>
                <c:pt idx="46">
                  <c:v>4977887.4018869866</c:v>
                </c:pt>
                <c:pt idx="47">
                  <c:v>5475676.1420756858</c:v>
                </c:pt>
                <c:pt idx="48">
                  <c:v>6023243.7562832553</c:v>
                </c:pt>
                <c:pt idx="49">
                  <c:v>6625568.1319115814</c:v>
                </c:pt>
                <c:pt idx="50">
                  <c:v>7288124.9451027401</c:v>
                </c:pt>
                <c:pt idx="51">
                  <c:v>8016937.4396130145</c:v>
                </c:pt>
                <c:pt idx="52">
                  <c:v>8818631.183574317</c:v>
                </c:pt>
                <c:pt idx="53">
                  <c:v>9700494.30193175</c:v>
                </c:pt>
                <c:pt idx="54">
                  <c:v>10670543.732124927</c:v>
                </c:pt>
                <c:pt idx="55">
                  <c:v>11737598.10533742</c:v>
                </c:pt>
                <c:pt idx="56">
                  <c:v>12911357.915871164</c:v>
                </c:pt>
                <c:pt idx="57">
                  <c:v>14202493.707458282</c:v>
                </c:pt>
                <c:pt idx="58">
                  <c:v>15622743.078204112</c:v>
                </c:pt>
                <c:pt idx="59">
                  <c:v>17185017.386024524</c:v>
                </c:pt>
                <c:pt idx="60">
                  <c:v>18903519.124626979</c:v>
                </c:pt>
                <c:pt idx="61">
                  <c:v>20793871.037089679</c:v>
                </c:pt>
                <c:pt idx="62">
                  <c:v>22873258.140798651</c:v>
                </c:pt>
                <c:pt idx="63">
                  <c:v>25160583.954878516</c:v>
                </c:pt>
                <c:pt idx="64">
                  <c:v>27676642.350366369</c:v>
                </c:pt>
                <c:pt idx="65">
                  <c:v>30444306.585403007</c:v>
                </c:pt>
              </c:numCache>
            </c:numRef>
          </c:xVal>
          <c:yVal>
            <c:numRef>
              <c:f>Sheet1!$Q$15:$Q$239</c:f>
              <c:numCache>
                <c:formatCode>0.00</c:formatCode>
                <c:ptCount val="225"/>
                <c:pt idx="0">
                  <c:v>1.5912000000000075E-2</c:v>
                </c:pt>
                <c:pt idx="1">
                  <c:v>1.5912000000000016E-2</c:v>
                </c:pt>
                <c:pt idx="2">
                  <c:v>1.5912000000000027E-2</c:v>
                </c:pt>
                <c:pt idx="3">
                  <c:v>1.5912000000000023E-2</c:v>
                </c:pt>
                <c:pt idx="4">
                  <c:v>1.591200000000003E-2</c:v>
                </c:pt>
                <c:pt idx="5">
                  <c:v>1.5912000000000023E-2</c:v>
                </c:pt>
                <c:pt idx="6">
                  <c:v>1.5912000000000023E-2</c:v>
                </c:pt>
                <c:pt idx="7">
                  <c:v>1.5912000000000013E-2</c:v>
                </c:pt>
                <c:pt idx="8">
                  <c:v>1.5912000000000009E-2</c:v>
                </c:pt>
                <c:pt idx="9">
                  <c:v>1.5912000000000041E-2</c:v>
                </c:pt>
                <c:pt idx="10">
                  <c:v>1.591200000000003E-2</c:v>
                </c:pt>
                <c:pt idx="11">
                  <c:v>1.5912000000000027E-2</c:v>
                </c:pt>
                <c:pt idx="12">
                  <c:v>1.591200000000003E-2</c:v>
                </c:pt>
                <c:pt idx="13">
                  <c:v>1.5912000000000034E-2</c:v>
                </c:pt>
                <c:pt idx="14">
                  <c:v>1.5912000000000027E-2</c:v>
                </c:pt>
                <c:pt idx="15">
                  <c:v>1.5912000000000013E-2</c:v>
                </c:pt>
                <c:pt idx="16">
                  <c:v>1.5912000000000016E-2</c:v>
                </c:pt>
                <c:pt idx="17">
                  <c:v>1.5912000000000023E-2</c:v>
                </c:pt>
                <c:pt idx="18">
                  <c:v>1.5911999999999999E-2</c:v>
                </c:pt>
                <c:pt idx="19">
                  <c:v>1.5912000000000058E-2</c:v>
                </c:pt>
                <c:pt idx="20">
                  <c:v>1.5912000000000075E-2</c:v>
                </c:pt>
                <c:pt idx="21">
                  <c:v>1.591200000000002E-2</c:v>
                </c:pt>
                <c:pt idx="22">
                  <c:v>1.5912000000000058E-2</c:v>
                </c:pt>
                <c:pt idx="23">
                  <c:v>1.5912000000000068E-2</c:v>
                </c:pt>
                <c:pt idx="24">
                  <c:v>1.5911999999999964E-2</c:v>
                </c:pt>
                <c:pt idx="25">
                  <c:v>1.5911999999999964E-2</c:v>
                </c:pt>
                <c:pt idx="26">
                  <c:v>1.5912000000000089E-2</c:v>
                </c:pt>
                <c:pt idx="27">
                  <c:v>1.5912000000000107E-2</c:v>
                </c:pt>
                <c:pt idx="28">
                  <c:v>1.5911999999999954E-2</c:v>
                </c:pt>
                <c:pt idx="29">
                  <c:v>1.5911999999999926E-2</c:v>
                </c:pt>
                <c:pt idx="30">
                  <c:v>1.591200000000003E-2</c:v>
                </c:pt>
                <c:pt idx="31">
                  <c:v>1.3150413223140592E-2</c:v>
                </c:pt>
                <c:pt idx="32">
                  <c:v>1.0868110101768927E-2</c:v>
                </c:pt>
                <c:pt idx="33">
                  <c:v>8.9819091750156232E-3</c:v>
                </c:pt>
                <c:pt idx="34">
                  <c:v>7.4230654338972805E-3</c:v>
                </c:pt>
                <c:pt idx="35">
                  <c:v>6.134764821402662E-3</c:v>
                </c:pt>
                <c:pt idx="36">
                  <c:v>5.0700535714072632E-3</c:v>
                </c:pt>
                <c:pt idx="37">
                  <c:v>4.1901269185182759E-3</c:v>
                </c:pt>
                <c:pt idx="38">
                  <c:v>3.4629148086928888E-3</c:v>
                </c:pt>
                <c:pt idx="39">
                  <c:v>2.8619130650353545E-3</c:v>
                </c:pt>
                <c:pt idx="40">
                  <c:v>2.3652174091201277E-3</c:v>
                </c:pt>
                <c:pt idx="41">
                  <c:v>1.9547251315042372E-3</c:v>
                </c:pt>
                <c:pt idx="42">
                  <c:v>1.6154753152927493E-3</c:v>
                </c:pt>
                <c:pt idx="43">
                  <c:v>1.3351035663576908E-3</c:v>
                </c:pt>
                <c:pt idx="44">
                  <c:v>1.1033913771550737E-3</c:v>
                </c:pt>
                <c:pt idx="45">
                  <c:v>9.1189370012817938E-4</c:v>
                </c:pt>
                <c:pt idx="46">
                  <c:v>7.5363115713074987E-4</c:v>
                </c:pt>
                <c:pt idx="47">
                  <c:v>6.228356670502118E-4</c:v>
                </c:pt>
                <c:pt idx="48">
                  <c:v>5.1474022070262064E-4</c:v>
                </c:pt>
                <c:pt idx="49">
                  <c:v>4.2540514107655903E-4</c:v>
                </c:pt>
                <c:pt idx="50">
                  <c:v>3.5157449675747088E-4</c:v>
                </c:pt>
                <c:pt idx="51">
                  <c:v>2.9055743533677812E-4</c:v>
                </c:pt>
                <c:pt idx="52">
                  <c:v>2.4013011184855718E-4</c:v>
                </c:pt>
                <c:pt idx="53">
                  <c:v>1.9845463789137252E-4</c:v>
                </c:pt>
                <c:pt idx="54">
                  <c:v>1.6401209743089723E-4</c:v>
                </c:pt>
                <c:pt idx="55">
                  <c:v>1.3554718795940932E-4</c:v>
                </c:pt>
                <c:pt idx="56">
                  <c:v>1.1202246938794605E-4</c:v>
                </c:pt>
                <c:pt idx="57">
                  <c:v>9.258055321317038E-5</c:v>
                </c:pt>
                <c:pt idx="58">
                  <c:v>7.6512853895189544E-5</c:v>
                </c:pt>
                <c:pt idx="59">
                  <c:v>6.3233763549740059E-5</c:v>
                </c:pt>
                <c:pt idx="60">
                  <c:v>5.225930871878883E-5</c:v>
                </c:pt>
                <c:pt idx="61">
                  <c:v>4.3189511337843394E-5</c:v>
                </c:pt>
                <c:pt idx="62">
                  <c:v>3.5693811023016132E-5</c:v>
                </c:pt>
                <c:pt idx="63">
                  <c:v>2.9499017374396952E-5</c:v>
                </c:pt>
                <c:pt idx="64">
                  <c:v>2.4379353201973621E-5</c:v>
                </c:pt>
                <c:pt idx="65">
                  <c:v>2.0148225786758868E-5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486016"/>
        <c:axId val="108492672"/>
      </c:scatterChart>
      <c:valAx>
        <c:axId val="108486016"/>
        <c:scaling>
          <c:orientation val="minMax"/>
          <c:max val="20000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Median</a:t>
                </a:r>
                <a:r>
                  <a:rPr lang="en-US" baseline="0"/>
                  <a:t> Block Size, MB</a:t>
                </a:r>
                <a:endParaRPr lang="en-US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low"/>
        <c:crossAx val="108492672"/>
        <c:crosses val="autoZero"/>
        <c:crossBetween val="midCat"/>
        <c:majorUnit val="500000"/>
        <c:dispUnits>
          <c:builtInUnit val="millions"/>
        </c:dispUnits>
      </c:valAx>
      <c:valAx>
        <c:axId val="108492672"/>
        <c:scaling>
          <c:logBase val="10"/>
          <c:orientation val="minMax"/>
          <c:max val="1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Block Fees,</a:t>
                </a:r>
                <a:r>
                  <a:rPr lang="en-US" baseline="0"/>
                  <a:t> USD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6.3613938348601351E-2"/>
              <c:y val="0.39241424169804867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108486016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32718233226291404"/>
          <c:y val="0.71283921031610187"/>
          <c:w val="0.43287106983751023"/>
          <c:h val="9.5456578797215558E-2"/>
        </c:manualLayout>
      </c:layout>
      <c:overlay val="1"/>
      <c:spPr>
        <a:solidFill>
          <a:schemeClr val="bg1"/>
        </a:solidFill>
        <a:ln>
          <a:solidFill>
            <a:schemeClr val="accent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Single TX Price</a:t>
            </a:r>
          </a:p>
          <a:p>
            <a:pPr>
              <a:defRPr/>
            </a:pPr>
            <a:r>
              <a:rPr lang="en-US" sz="1200"/>
              <a:t>(</a:t>
            </a:r>
            <a:r>
              <a:rPr lang="en-US" sz="1200" baseline="0"/>
              <a:t>current penalty, current min. fee)</a:t>
            </a:r>
            <a:endParaRPr lang="en-US" sz="1200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Sheet1!$J$14</c:f>
              <c:strCache>
                <c:ptCount val="1"/>
                <c:pt idx="0">
                  <c:v>Square Market Price</c:v>
                </c:pt>
              </c:strCache>
            </c:strRef>
          </c:tx>
          <c:marker>
            <c:symbol val="none"/>
          </c:marker>
          <c:xVal>
            <c:numRef>
              <c:f>Sheet1!$B$15:$B$239</c:f>
              <c:numCache>
                <c:formatCode>#,##0</c:formatCode>
                <c:ptCount val="225"/>
                <c:pt idx="0">
                  <c:v>60000</c:v>
                </c:pt>
                <c:pt idx="1">
                  <c:v>66000</c:v>
                </c:pt>
                <c:pt idx="2">
                  <c:v>72600</c:v>
                </c:pt>
                <c:pt idx="3">
                  <c:v>79860</c:v>
                </c:pt>
                <c:pt idx="4">
                  <c:v>87846</c:v>
                </c:pt>
                <c:pt idx="5">
                  <c:v>96630.6</c:v>
                </c:pt>
                <c:pt idx="6">
                  <c:v>106293.66000000002</c:v>
                </c:pt>
                <c:pt idx="7">
                  <c:v>116923.02600000003</c:v>
                </c:pt>
                <c:pt idx="8">
                  <c:v>128615.32860000004</c:v>
                </c:pt>
                <c:pt idx="9">
                  <c:v>141476.86146000004</c:v>
                </c:pt>
                <c:pt idx="10">
                  <c:v>155624.54760600007</c:v>
                </c:pt>
                <c:pt idx="11">
                  <c:v>171187.00236660009</c:v>
                </c:pt>
                <c:pt idx="12">
                  <c:v>188305.70260326011</c:v>
                </c:pt>
                <c:pt idx="13">
                  <c:v>207136.27286358614</c:v>
                </c:pt>
                <c:pt idx="14">
                  <c:v>227849.90014994476</c:v>
                </c:pt>
                <c:pt idx="15">
                  <c:v>250634.89016493925</c:v>
                </c:pt>
                <c:pt idx="16">
                  <c:v>275698.37918143318</c:v>
                </c:pt>
                <c:pt idx="17">
                  <c:v>303268.21709957655</c:v>
                </c:pt>
                <c:pt idx="18">
                  <c:v>333595.03880953422</c:v>
                </c:pt>
                <c:pt idx="19">
                  <c:v>366954.54269048769</c:v>
                </c:pt>
                <c:pt idx="20">
                  <c:v>403649.99695953651</c:v>
                </c:pt>
                <c:pt idx="21">
                  <c:v>444014.99665549019</c:v>
                </c:pt>
                <c:pt idx="22">
                  <c:v>488416.49632103927</c:v>
                </c:pt>
                <c:pt idx="23">
                  <c:v>537258.14595314325</c:v>
                </c:pt>
                <c:pt idx="24">
                  <c:v>590983.96054845757</c:v>
                </c:pt>
                <c:pt idx="25">
                  <c:v>650082.35660330334</c:v>
                </c:pt>
                <c:pt idx="26">
                  <c:v>715090.59226363373</c:v>
                </c:pt>
                <c:pt idx="27">
                  <c:v>786599.65148999717</c:v>
                </c:pt>
                <c:pt idx="28">
                  <c:v>865259.61663899699</c:v>
                </c:pt>
                <c:pt idx="29">
                  <c:v>951785.57830289681</c:v>
                </c:pt>
                <c:pt idx="30">
                  <c:v>1083333.3333333323</c:v>
                </c:pt>
                <c:pt idx="31">
                  <c:v>1191666.6666666656</c:v>
                </c:pt>
                <c:pt idx="32">
                  <c:v>1310833.3333333323</c:v>
                </c:pt>
                <c:pt idx="33">
                  <c:v>1441916.6666666656</c:v>
                </c:pt>
                <c:pt idx="34">
                  <c:v>1586108.3333333323</c:v>
                </c:pt>
                <c:pt idx="35">
                  <c:v>1744719.1666666658</c:v>
                </c:pt>
                <c:pt idx="36">
                  <c:v>1919191.0833333326</c:v>
                </c:pt>
                <c:pt idx="37">
                  <c:v>2111110.191666666</c:v>
                </c:pt>
                <c:pt idx="38">
                  <c:v>2322221.210833333</c:v>
                </c:pt>
                <c:pt idx="39">
                  <c:v>2554443.3319166666</c:v>
                </c:pt>
                <c:pt idx="40">
                  <c:v>2809887.6651083333</c:v>
                </c:pt>
                <c:pt idx="41">
                  <c:v>3090876.4316191669</c:v>
                </c:pt>
                <c:pt idx="42">
                  <c:v>3399964.074781084</c:v>
                </c:pt>
                <c:pt idx="43">
                  <c:v>3739960.4822591925</c:v>
                </c:pt>
                <c:pt idx="44">
                  <c:v>4113956.5304851122</c:v>
                </c:pt>
                <c:pt idx="45">
                  <c:v>4525352.1835336238</c:v>
                </c:pt>
                <c:pt idx="46">
                  <c:v>4977887.4018869866</c:v>
                </c:pt>
                <c:pt idx="47">
                  <c:v>5475676.1420756858</c:v>
                </c:pt>
                <c:pt idx="48">
                  <c:v>6023243.7562832553</c:v>
                </c:pt>
                <c:pt idx="49">
                  <c:v>6625568.1319115814</c:v>
                </c:pt>
                <c:pt idx="50">
                  <c:v>7288124.9451027401</c:v>
                </c:pt>
                <c:pt idx="51">
                  <c:v>8016937.4396130145</c:v>
                </c:pt>
                <c:pt idx="52">
                  <c:v>8818631.183574317</c:v>
                </c:pt>
                <c:pt idx="53">
                  <c:v>9700494.30193175</c:v>
                </c:pt>
                <c:pt idx="54">
                  <c:v>10670543.732124927</c:v>
                </c:pt>
                <c:pt idx="55">
                  <c:v>11737598.10533742</c:v>
                </c:pt>
                <c:pt idx="56">
                  <c:v>12911357.915871164</c:v>
                </c:pt>
                <c:pt idx="57">
                  <c:v>14202493.707458282</c:v>
                </c:pt>
                <c:pt idx="58">
                  <c:v>15622743.078204112</c:v>
                </c:pt>
                <c:pt idx="59">
                  <c:v>17185017.386024524</c:v>
                </c:pt>
                <c:pt idx="60">
                  <c:v>18903519.124626979</c:v>
                </c:pt>
                <c:pt idx="61">
                  <c:v>20793871.037089679</c:v>
                </c:pt>
                <c:pt idx="62">
                  <c:v>22873258.140798651</c:v>
                </c:pt>
                <c:pt idx="63">
                  <c:v>25160583.954878516</c:v>
                </c:pt>
                <c:pt idx="64">
                  <c:v>27676642.350366369</c:v>
                </c:pt>
                <c:pt idx="65">
                  <c:v>30444306.585403007</c:v>
                </c:pt>
              </c:numCache>
            </c:numRef>
          </c:xVal>
          <c:yVal>
            <c:numRef>
              <c:f>Sheet1!$J$15:$J$239</c:f>
              <c:numCache>
                <c:formatCode>General</c:formatCode>
                <c:ptCount val="225"/>
                <c:pt idx="0">
                  <c:v>0.28730000000000022</c:v>
                </c:pt>
                <c:pt idx="1">
                  <c:v>0.31603000000000037</c:v>
                </c:pt>
                <c:pt idx="2">
                  <c:v>0.3476330000000003</c:v>
                </c:pt>
                <c:pt idx="3">
                  <c:v>0.38239630000000036</c:v>
                </c:pt>
                <c:pt idx="4">
                  <c:v>0.42063593000000038</c:v>
                </c:pt>
                <c:pt idx="5">
                  <c:v>0.46269952300000045</c:v>
                </c:pt>
                <c:pt idx="6">
                  <c:v>0.50896947530000047</c:v>
                </c:pt>
                <c:pt idx="7">
                  <c:v>0.55986642283000065</c:v>
                </c:pt>
                <c:pt idx="8">
                  <c:v>0.61585306511300075</c:v>
                </c:pt>
                <c:pt idx="9">
                  <c:v>0.67743837162430065</c:v>
                </c:pt>
                <c:pt idx="10">
                  <c:v>0.74518220878673103</c:v>
                </c:pt>
                <c:pt idx="11">
                  <c:v>0.81970042966540424</c:v>
                </c:pt>
                <c:pt idx="12">
                  <c:v>0.90167047263194466</c:v>
                </c:pt>
                <c:pt idx="13">
                  <c:v>0.99183751989513913</c:v>
                </c:pt>
                <c:pt idx="14">
                  <c:v>1.091021271884653</c:v>
                </c:pt>
                <c:pt idx="15">
                  <c:v>1.2001233990731188</c:v>
                </c:pt>
                <c:pt idx="16">
                  <c:v>1.3201357389804302</c:v>
                </c:pt>
                <c:pt idx="17">
                  <c:v>1.4521493128784735</c:v>
                </c:pt>
                <c:pt idx="18">
                  <c:v>1.5973642441663212</c:v>
                </c:pt>
                <c:pt idx="19">
                  <c:v>1.7571006685829533</c:v>
                </c:pt>
                <c:pt idx="20">
                  <c:v>1.9328107354412487</c:v>
                </c:pt>
                <c:pt idx="21">
                  <c:v>2.126091808985374</c:v>
                </c:pt>
                <c:pt idx="22">
                  <c:v>2.338700989883912</c:v>
                </c:pt>
                <c:pt idx="23">
                  <c:v>2.5725710888723028</c:v>
                </c:pt>
                <c:pt idx="24">
                  <c:v>2.8298281977595336</c:v>
                </c:pt>
                <c:pt idx="25">
                  <c:v>3.1128110175354871</c:v>
                </c:pt>
                <c:pt idx="26">
                  <c:v>3.4240921192890355</c:v>
                </c:pt>
                <c:pt idx="27">
                  <c:v>3.7665013312179396</c:v>
                </c:pt>
                <c:pt idx="28">
                  <c:v>4.1431514643397334</c:v>
                </c:pt>
                <c:pt idx="29">
                  <c:v>4.5574666107737078</c:v>
                </c:pt>
                <c:pt idx="30">
                  <c:v>5.1873611111111115</c:v>
                </c:pt>
                <c:pt idx="31">
                  <c:v>5.7060972222222226</c:v>
                </c:pt>
                <c:pt idx="32">
                  <c:v>6.2767069444444434</c:v>
                </c:pt>
                <c:pt idx="33">
                  <c:v>6.9043776388888904</c:v>
                </c:pt>
                <c:pt idx="34">
                  <c:v>7.5948154027777797</c:v>
                </c:pt>
                <c:pt idx="35">
                  <c:v>8.3542969430555587</c:v>
                </c:pt>
                <c:pt idx="36">
                  <c:v>9.1897266373611153</c:v>
                </c:pt>
                <c:pt idx="37">
                  <c:v>10.108699301097227</c:v>
                </c:pt>
                <c:pt idx="38">
                  <c:v>11.119569231206953</c:v>
                </c:pt>
                <c:pt idx="39">
                  <c:v>12.231526154327652</c:v>
                </c:pt>
                <c:pt idx="40">
                  <c:v>13.454678769760415</c:v>
                </c:pt>
                <c:pt idx="41">
                  <c:v>14.800146646736456</c:v>
                </c:pt>
                <c:pt idx="42">
                  <c:v>16.280161311410104</c:v>
                </c:pt>
                <c:pt idx="43">
                  <c:v>17.908177442551118</c:v>
                </c:pt>
                <c:pt idx="44">
                  <c:v>19.698995186806226</c:v>
                </c:pt>
                <c:pt idx="45">
                  <c:v>21.668894705486853</c:v>
                </c:pt>
                <c:pt idx="46">
                  <c:v>23.835784176035549</c:v>
                </c:pt>
                <c:pt idx="47">
                  <c:v>26.219362593639097</c:v>
                </c:pt>
                <c:pt idx="48">
                  <c:v>28.841298853003011</c:v>
                </c:pt>
                <c:pt idx="49">
                  <c:v>31.725428738303318</c:v>
                </c:pt>
                <c:pt idx="50">
                  <c:v>34.897971612133652</c:v>
                </c:pt>
                <c:pt idx="51">
                  <c:v>38.387768773347013</c:v>
                </c:pt>
                <c:pt idx="52">
                  <c:v>42.226545650681722</c:v>
                </c:pt>
                <c:pt idx="53">
                  <c:v>46.449200215749904</c:v>
                </c:pt>
                <c:pt idx="54">
                  <c:v>51.094120237324915</c:v>
                </c:pt>
                <c:pt idx="55">
                  <c:v>56.203532261057411</c:v>
                </c:pt>
                <c:pt idx="56">
                  <c:v>61.823885487163139</c:v>
                </c:pt>
                <c:pt idx="57">
                  <c:v>68.006274035879471</c:v>
                </c:pt>
                <c:pt idx="58">
                  <c:v>74.80690143946741</c:v>
                </c:pt>
                <c:pt idx="59">
                  <c:v>82.287591583414184</c:v>
                </c:pt>
                <c:pt idx="60">
                  <c:v>90.516350741755602</c:v>
                </c:pt>
                <c:pt idx="61">
                  <c:v>99.567985815931195</c:v>
                </c:pt>
                <c:pt idx="62">
                  <c:v>109.5247843975243</c:v>
                </c:pt>
                <c:pt idx="63">
                  <c:v>120.47726283727673</c:v>
                </c:pt>
                <c:pt idx="64">
                  <c:v>132.52498912100441</c:v>
                </c:pt>
                <c:pt idx="65">
                  <c:v>145.77748803310485</c:v>
                </c:pt>
              </c:numCache>
            </c:numRef>
          </c:yVal>
          <c:smooth val="0"/>
        </c:ser>
        <c:ser>
          <c:idx val="3"/>
          <c:order val="1"/>
          <c:tx>
            <c:strRef>
              <c:f>Sheet1!$I$14</c:f>
              <c:strCache>
                <c:ptCount val="1"/>
                <c:pt idx="0">
                  <c:v>Linear Market Price</c:v>
                </c:pt>
              </c:strCache>
            </c:strRef>
          </c:tx>
          <c:marker>
            <c:symbol val="none"/>
          </c:marker>
          <c:xVal>
            <c:numRef>
              <c:f>Sheet1!$B$15:$B$239</c:f>
              <c:numCache>
                <c:formatCode>#,##0</c:formatCode>
                <c:ptCount val="225"/>
                <c:pt idx="0">
                  <c:v>60000</c:v>
                </c:pt>
                <c:pt idx="1">
                  <c:v>66000</c:v>
                </c:pt>
                <c:pt idx="2">
                  <c:v>72600</c:v>
                </c:pt>
                <c:pt idx="3">
                  <c:v>79860</c:v>
                </c:pt>
                <c:pt idx="4">
                  <c:v>87846</c:v>
                </c:pt>
                <c:pt idx="5">
                  <c:v>96630.6</c:v>
                </c:pt>
                <c:pt idx="6">
                  <c:v>106293.66000000002</c:v>
                </c:pt>
                <c:pt idx="7">
                  <c:v>116923.02600000003</c:v>
                </c:pt>
                <c:pt idx="8">
                  <c:v>128615.32860000004</c:v>
                </c:pt>
                <c:pt idx="9">
                  <c:v>141476.86146000004</c:v>
                </c:pt>
                <c:pt idx="10">
                  <c:v>155624.54760600007</c:v>
                </c:pt>
                <c:pt idx="11">
                  <c:v>171187.00236660009</c:v>
                </c:pt>
                <c:pt idx="12">
                  <c:v>188305.70260326011</c:v>
                </c:pt>
                <c:pt idx="13">
                  <c:v>207136.27286358614</c:v>
                </c:pt>
                <c:pt idx="14">
                  <c:v>227849.90014994476</c:v>
                </c:pt>
                <c:pt idx="15">
                  <c:v>250634.89016493925</c:v>
                </c:pt>
                <c:pt idx="16">
                  <c:v>275698.37918143318</c:v>
                </c:pt>
                <c:pt idx="17">
                  <c:v>303268.21709957655</c:v>
                </c:pt>
                <c:pt idx="18">
                  <c:v>333595.03880953422</c:v>
                </c:pt>
                <c:pt idx="19">
                  <c:v>366954.54269048769</c:v>
                </c:pt>
                <c:pt idx="20">
                  <c:v>403649.99695953651</c:v>
                </c:pt>
                <c:pt idx="21">
                  <c:v>444014.99665549019</c:v>
                </c:pt>
                <c:pt idx="22">
                  <c:v>488416.49632103927</c:v>
                </c:pt>
                <c:pt idx="23">
                  <c:v>537258.14595314325</c:v>
                </c:pt>
                <c:pt idx="24">
                  <c:v>590983.96054845757</c:v>
                </c:pt>
                <c:pt idx="25">
                  <c:v>650082.35660330334</c:v>
                </c:pt>
                <c:pt idx="26">
                  <c:v>715090.59226363373</c:v>
                </c:pt>
                <c:pt idx="27">
                  <c:v>786599.65148999717</c:v>
                </c:pt>
                <c:pt idx="28">
                  <c:v>865259.61663899699</c:v>
                </c:pt>
                <c:pt idx="29">
                  <c:v>951785.57830289681</c:v>
                </c:pt>
                <c:pt idx="30">
                  <c:v>1083333.3333333323</c:v>
                </c:pt>
                <c:pt idx="31">
                  <c:v>1191666.6666666656</c:v>
                </c:pt>
                <c:pt idx="32">
                  <c:v>1310833.3333333323</c:v>
                </c:pt>
                <c:pt idx="33">
                  <c:v>1441916.6666666656</c:v>
                </c:pt>
                <c:pt idx="34">
                  <c:v>1586108.3333333323</c:v>
                </c:pt>
                <c:pt idx="35">
                  <c:v>1744719.1666666658</c:v>
                </c:pt>
                <c:pt idx="36">
                  <c:v>1919191.0833333326</c:v>
                </c:pt>
                <c:pt idx="37">
                  <c:v>2111110.191666666</c:v>
                </c:pt>
                <c:pt idx="38">
                  <c:v>2322221.210833333</c:v>
                </c:pt>
                <c:pt idx="39">
                  <c:v>2554443.3319166666</c:v>
                </c:pt>
                <c:pt idx="40">
                  <c:v>2809887.6651083333</c:v>
                </c:pt>
                <c:pt idx="41">
                  <c:v>3090876.4316191669</c:v>
                </c:pt>
                <c:pt idx="42">
                  <c:v>3399964.074781084</c:v>
                </c:pt>
                <c:pt idx="43">
                  <c:v>3739960.4822591925</c:v>
                </c:pt>
                <c:pt idx="44">
                  <c:v>4113956.5304851122</c:v>
                </c:pt>
                <c:pt idx="45">
                  <c:v>4525352.1835336238</c:v>
                </c:pt>
                <c:pt idx="46">
                  <c:v>4977887.4018869866</c:v>
                </c:pt>
                <c:pt idx="47">
                  <c:v>5475676.1420756858</c:v>
                </c:pt>
                <c:pt idx="48">
                  <c:v>6023243.7562832553</c:v>
                </c:pt>
                <c:pt idx="49">
                  <c:v>6625568.1319115814</c:v>
                </c:pt>
                <c:pt idx="50">
                  <c:v>7288124.9451027401</c:v>
                </c:pt>
                <c:pt idx="51">
                  <c:v>8016937.4396130145</c:v>
                </c:pt>
                <c:pt idx="52">
                  <c:v>8818631.183574317</c:v>
                </c:pt>
                <c:pt idx="53">
                  <c:v>9700494.30193175</c:v>
                </c:pt>
                <c:pt idx="54">
                  <c:v>10670543.732124927</c:v>
                </c:pt>
                <c:pt idx="55">
                  <c:v>11737598.10533742</c:v>
                </c:pt>
                <c:pt idx="56">
                  <c:v>12911357.915871164</c:v>
                </c:pt>
                <c:pt idx="57">
                  <c:v>14202493.707458282</c:v>
                </c:pt>
                <c:pt idx="58">
                  <c:v>15622743.078204112</c:v>
                </c:pt>
                <c:pt idx="59">
                  <c:v>17185017.386024524</c:v>
                </c:pt>
                <c:pt idx="60">
                  <c:v>18903519.124626979</c:v>
                </c:pt>
                <c:pt idx="61">
                  <c:v>20793871.037089679</c:v>
                </c:pt>
                <c:pt idx="62">
                  <c:v>22873258.140798651</c:v>
                </c:pt>
                <c:pt idx="63">
                  <c:v>25160583.954878516</c:v>
                </c:pt>
                <c:pt idx="64">
                  <c:v>27676642.350366369</c:v>
                </c:pt>
                <c:pt idx="65">
                  <c:v>30444306.585403007</c:v>
                </c:pt>
              </c:numCache>
            </c:numRef>
          </c:xVal>
          <c:yVal>
            <c:numRef>
              <c:f>Sheet1!$I$15:$I$239</c:f>
              <c:numCache>
                <c:formatCode>General</c:formatCode>
                <c:ptCount val="225"/>
                <c:pt idx="0">
                  <c:v>0.28730000000000022</c:v>
                </c:pt>
                <c:pt idx="1">
                  <c:v>0.28730000000000028</c:v>
                </c:pt>
                <c:pt idx="2">
                  <c:v>0.28730000000000028</c:v>
                </c:pt>
                <c:pt idx="3">
                  <c:v>0.28730000000000028</c:v>
                </c:pt>
                <c:pt idx="4">
                  <c:v>0.28730000000000028</c:v>
                </c:pt>
                <c:pt idx="5">
                  <c:v>0.28730000000000022</c:v>
                </c:pt>
                <c:pt idx="6">
                  <c:v>0.28730000000000022</c:v>
                </c:pt>
                <c:pt idx="7">
                  <c:v>0.28730000000000022</c:v>
                </c:pt>
                <c:pt idx="8">
                  <c:v>0.28730000000000028</c:v>
                </c:pt>
                <c:pt idx="9">
                  <c:v>0.28730000000000022</c:v>
                </c:pt>
                <c:pt idx="10">
                  <c:v>0.28730000000000028</c:v>
                </c:pt>
                <c:pt idx="11">
                  <c:v>0.28730000000000028</c:v>
                </c:pt>
                <c:pt idx="12">
                  <c:v>0.28730000000000028</c:v>
                </c:pt>
                <c:pt idx="13">
                  <c:v>0.28730000000000022</c:v>
                </c:pt>
                <c:pt idx="14">
                  <c:v>0.28730000000000022</c:v>
                </c:pt>
                <c:pt idx="15">
                  <c:v>0.28730000000000028</c:v>
                </c:pt>
                <c:pt idx="16">
                  <c:v>0.28730000000000022</c:v>
                </c:pt>
                <c:pt idx="17">
                  <c:v>0.28730000000000028</c:v>
                </c:pt>
                <c:pt idx="18">
                  <c:v>0.28730000000000028</c:v>
                </c:pt>
                <c:pt idx="19">
                  <c:v>0.28730000000000022</c:v>
                </c:pt>
                <c:pt idx="20">
                  <c:v>0.28730000000000022</c:v>
                </c:pt>
                <c:pt idx="21">
                  <c:v>0.28730000000000028</c:v>
                </c:pt>
                <c:pt idx="22">
                  <c:v>0.28730000000000028</c:v>
                </c:pt>
                <c:pt idx="23">
                  <c:v>0.28730000000000022</c:v>
                </c:pt>
                <c:pt idx="24">
                  <c:v>0.28730000000000028</c:v>
                </c:pt>
                <c:pt idx="25">
                  <c:v>0.28730000000000022</c:v>
                </c:pt>
                <c:pt idx="26">
                  <c:v>0.28730000000000022</c:v>
                </c:pt>
                <c:pt idx="27">
                  <c:v>0.28730000000000022</c:v>
                </c:pt>
                <c:pt idx="28">
                  <c:v>0.28730000000000022</c:v>
                </c:pt>
                <c:pt idx="29">
                  <c:v>0.28730000000000022</c:v>
                </c:pt>
                <c:pt idx="30">
                  <c:v>0.28730000000000022</c:v>
                </c:pt>
                <c:pt idx="31">
                  <c:v>0.28730000000000028</c:v>
                </c:pt>
                <c:pt idx="32">
                  <c:v>0.28730000000000022</c:v>
                </c:pt>
                <c:pt idx="33">
                  <c:v>0.28730000000000022</c:v>
                </c:pt>
                <c:pt idx="34">
                  <c:v>0.28730000000000028</c:v>
                </c:pt>
                <c:pt idx="35">
                  <c:v>0.28730000000000022</c:v>
                </c:pt>
                <c:pt idx="36">
                  <c:v>0.28730000000000022</c:v>
                </c:pt>
                <c:pt idx="37">
                  <c:v>0.28730000000000028</c:v>
                </c:pt>
                <c:pt idx="38">
                  <c:v>0.28730000000000028</c:v>
                </c:pt>
                <c:pt idx="39">
                  <c:v>0.28730000000000028</c:v>
                </c:pt>
                <c:pt idx="40">
                  <c:v>0.28730000000000022</c:v>
                </c:pt>
                <c:pt idx="41">
                  <c:v>0.28730000000000022</c:v>
                </c:pt>
                <c:pt idx="42">
                  <c:v>0.28730000000000022</c:v>
                </c:pt>
                <c:pt idx="43">
                  <c:v>0.28730000000000028</c:v>
                </c:pt>
                <c:pt idx="44">
                  <c:v>0.28730000000000028</c:v>
                </c:pt>
                <c:pt idx="45">
                  <c:v>0.28730000000000028</c:v>
                </c:pt>
                <c:pt idx="46">
                  <c:v>0.28730000000000028</c:v>
                </c:pt>
                <c:pt idx="47">
                  <c:v>0.28730000000000022</c:v>
                </c:pt>
                <c:pt idx="48">
                  <c:v>0.28730000000000028</c:v>
                </c:pt>
                <c:pt idx="49">
                  <c:v>0.28730000000000028</c:v>
                </c:pt>
                <c:pt idx="50">
                  <c:v>0.28730000000000028</c:v>
                </c:pt>
                <c:pt idx="51">
                  <c:v>0.28730000000000028</c:v>
                </c:pt>
                <c:pt idx="52">
                  <c:v>0.28730000000000022</c:v>
                </c:pt>
                <c:pt idx="53">
                  <c:v>0.28730000000000022</c:v>
                </c:pt>
                <c:pt idx="54">
                  <c:v>0.28730000000000033</c:v>
                </c:pt>
                <c:pt idx="55">
                  <c:v>0.28730000000000028</c:v>
                </c:pt>
                <c:pt idx="56">
                  <c:v>0.28730000000000022</c:v>
                </c:pt>
                <c:pt idx="57">
                  <c:v>0.28730000000000028</c:v>
                </c:pt>
                <c:pt idx="58">
                  <c:v>0.28730000000000022</c:v>
                </c:pt>
                <c:pt idx="59">
                  <c:v>0.28730000000000028</c:v>
                </c:pt>
                <c:pt idx="60">
                  <c:v>0.28730000000000028</c:v>
                </c:pt>
                <c:pt idx="61">
                  <c:v>0.28730000000000028</c:v>
                </c:pt>
                <c:pt idx="62">
                  <c:v>0.28730000000000028</c:v>
                </c:pt>
                <c:pt idx="63">
                  <c:v>0.28730000000000022</c:v>
                </c:pt>
                <c:pt idx="64">
                  <c:v>0.28730000000000028</c:v>
                </c:pt>
                <c:pt idx="65">
                  <c:v>0.28730000000000022</c:v>
                </c:pt>
              </c:numCache>
            </c:numRef>
          </c:yVal>
          <c:smooth val="0"/>
        </c:ser>
        <c:ser>
          <c:idx val="0"/>
          <c:order val="2"/>
          <c:tx>
            <c:strRef>
              <c:f>Sheet1!$K$14</c:f>
              <c:strCache>
                <c:ptCount val="1"/>
                <c:pt idx="0">
                  <c:v>Flat Market Price</c:v>
                </c:pt>
              </c:strCache>
            </c:strRef>
          </c:tx>
          <c:marker>
            <c:symbol val="none"/>
          </c:marker>
          <c:dPt>
            <c:idx val="0"/>
            <c:marker>
              <c:symbol val="auto"/>
            </c:marker>
            <c:bubble3D val="0"/>
          </c:dPt>
          <c:dLbls>
            <c:dLbl>
              <c:idx val="0"/>
              <c:layout>
                <c:manualLayout>
                  <c:x val="-0.18690061233512731"/>
                  <c:y val="-1.159420289855072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.00" sourceLinked="0"/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Sheet1!$B$15:$B$239</c:f>
              <c:numCache>
                <c:formatCode>#,##0</c:formatCode>
                <c:ptCount val="225"/>
                <c:pt idx="0">
                  <c:v>60000</c:v>
                </c:pt>
                <c:pt idx="1">
                  <c:v>66000</c:v>
                </c:pt>
                <c:pt idx="2">
                  <c:v>72600</c:v>
                </c:pt>
                <c:pt idx="3">
                  <c:v>79860</c:v>
                </c:pt>
                <c:pt idx="4">
                  <c:v>87846</c:v>
                </c:pt>
                <c:pt idx="5">
                  <c:v>96630.6</c:v>
                </c:pt>
                <c:pt idx="6">
                  <c:v>106293.66000000002</c:v>
                </c:pt>
                <c:pt idx="7">
                  <c:v>116923.02600000003</c:v>
                </c:pt>
                <c:pt idx="8">
                  <c:v>128615.32860000004</c:v>
                </c:pt>
                <c:pt idx="9">
                  <c:v>141476.86146000004</c:v>
                </c:pt>
                <c:pt idx="10">
                  <c:v>155624.54760600007</c:v>
                </c:pt>
                <c:pt idx="11">
                  <c:v>171187.00236660009</c:v>
                </c:pt>
                <c:pt idx="12">
                  <c:v>188305.70260326011</c:v>
                </c:pt>
                <c:pt idx="13">
                  <c:v>207136.27286358614</c:v>
                </c:pt>
                <c:pt idx="14">
                  <c:v>227849.90014994476</c:v>
                </c:pt>
                <c:pt idx="15">
                  <c:v>250634.89016493925</c:v>
                </c:pt>
                <c:pt idx="16">
                  <c:v>275698.37918143318</c:v>
                </c:pt>
                <c:pt idx="17">
                  <c:v>303268.21709957655</c:v>
                </c:pt>
                <c:pt idx="18">
                  <c:v>333595.03880953422</c:v>
                </c:pt>
                <c:pt idx="19">
                  <c:v>366954.54269048769</c:v>
                </c:pt>
                <c:pt idx="20">
                  <c:v>403649.99695953651</c:v>
                </c:pt>
                <c:pt idx="21">
                  <c:v>444014.99665549019</c:v>
                </c:pt>
                <c:pt idx="22">
                  <c:v>488416.49632103927</c:v>
                </c:pt>
                <c:pt idx="23">
                  <c:v>537258.14595314325</c:v>
                </c:pt>
                <c:pt idx="24">
                  <c:v>590983.96054845757</c:v>
                </c:pt>
                <c:pt idx="25">
                  <c:v>650082.35660330334</c:v>
                </c:pt>
                <c:pt idx="26">
                  <c:v>715090.59226363373</c:v>
                </c:pt>
                <c:pt idx="27">
                  <c:v>786599.65148999717</c:v>
                </c:pt>
                <c:pt idx="28">
                  <c:v>865259.61663899699</c:v>
                </c:pt>
                <c:pt idx="29">
                  <c:v>951785.57830289681</c:v>
                </c:pt>
                <c:pt idx="30">
                  <c:v>1083333.3333333323</c:v>
                </c:pt>
                <c:pt idx="31">
                  <c:v>1191666.6666666656</c:v>
                </c:pt>
                <c:pt idx="32">
                  <c:v>1310833.3333333323</c:v>
                </c:pt>
                <c:pt idx="33">
                  <c:v>1441916.6666666656</c:v>
                </c:pt>
                <c:pt idx="34">
                  <c:v>1586108.3333333323</c:v>
                </c:pt>
                <c:pt idx="35">
                  <c:v>1744719.1666666658</c:v>
                </c:pt>
                <c:pt idx="36">
                  <c:v>1919191.0833333326</c:v>
                </c:pt>
                <c:pt idx="37">
                  <c:v>2111110.191666666</c:v>
                </c:pt>
                <c:pt idx="38">
                  <c:v>2322221.210833333</c:v>
                </c:pt>
                <c:pt idx="39">
                  <c:v>2554443.3319166666</c:v>
                </c:pt>
                <c:pt idx="40">
                  <c:v>2809887.6651083333</c:v>
                </c:pt>
                <c:pt idx="41">
                  <c:v>3090876.4316191669</c:v>
                </c:pt>
                <c:pt idx="42">
                  <c:v>3399964.074781084</c:v>
                </c:pt>
                <c:pt idx="43">
                  <c:v>3739960.4822591925</c:v>
                </c:pt>
                <c:pt idx="44">
                  <c:v>4113956.5304851122</c:v>
                </c:pt>
                <c:pt idx="45">
                  <c:v>4525352.1835336238</c:v>
                </c:pt>
                <c:pt idx="46">
                  <c:v>4977887.4018869866</c:v>
                </c:pt>
                <c:pt idx="47">
                  <c:v>5475676.1420756858</c:v>
                </c:pt>
                <c:pt idx="48">
                  <c:v>6023243.7562832553</c:v>
                </c:pt>
                <c:pt idx="49">
                  <c:v>6625568.1319115814</c:v>
                </c:pt>
                <c:pt idx="50">
                  <c:v>7288124.9451027401</c:v>
                </c:pt>
                <c:pt idx="51">
                  <c:v>8016937.4396130145</c:v>
                </c:pt>
                <c:pt idx="52">
                  <c:v>8818631.183574317</c:v>
                </c:pt>
                <c:pt idx="53">
                  <c:v>9700494.30193175</c:v>
                </c:pt>
                <c:pt idx="54">
                  <c:v>10670543.732124927</c:v>
                </c:pt>
                <c:pt idx="55">
                  <c:v>11737598.10533742</c:v>
                </c:pt>
                <c:pt idx="56">
                  <c:v>12911357.915871164</c:v>
                </c:pt>
                <c:pt idx="57">
                  <c:v>14202493.707458282</c:v>
                </c:pt>
                <c:pt idx="58">
                  <c:v>15622743.078204112</c:v>
                </c:pt>
                <c:pt idx="59">
                  <c:v>17185017.386024524</c:v>
                </c:pt>
                <c:pt idx="60">
                  <c:v>18903519.124626979</c:v>
                </c:pt>
                <c:pt idx="61">
                  <c:v>20793871.037089679</c:v>
                </c:pt>
                <c:pt idx="62">
                  <c:v>22873258.140798651</c:v>
                </c:pt>
                <c:pt idx="63">
                  <c:v>25160583.954878516</c:v>
                </c:pt>
                <c:pt idx="64">
                  <c:v>27676642.350366369</c:v>
                </c:pt>
                <c:pt idx="65">
                  <c:v>30444306.585403007</c:v>
                </c:pt>
              </c:numCache>
            </c:numRef>
          </c:xVal>
          <c:yVal>
            <c:numRef>
              <c:f>Sheet1!$K$15:$K$239</c:f>
              <c:numCache>
                <c:formatCode>General</c:formatCode>
                <c:ptCount val="225"/>
                <c:pt idx="0">
                  <c:v>0.28730000000000022</c:v>
                </c:pt>
                <c:pt idx="1">
                  <c:v>0.26118181818181846</c:v>
                </c:pt>
                <c:pt idx="2">
                  <c:v>0.23743801652892582</c:v>
                </c:pt>
                <c:pt idx="3">
                  <c:v>0.21585274229902349</c:v>
                </c:pt>
                <c:pt idx="4">
                  <c:v>0.19622976572638498</c:v>
                </c:pt>
                <c:pt idx="5">
                  <c:v>0.17839069611489541</c:v>
                </c:pt>
                <c:pt idx="6">
                  <c:v>0.16217336010445035</c:v>
                </c:pt>
                <c:pt idx="7">
                  <c:v>0.14743032736768213</c:v>
                </c:pt>
                <c:pt idx="8">
                  <c:v>0.1340275703342565</c:v>
                </c:pt>
                <c:pt idx="9">
                  <c:v>0.12184324575841499</c:v>
                </c:pt>
                <c:pt idx="10">
                  <c:v>0.11076658705310452</c:v>
                </c:pt>
                <c:pt idx="11">
                  <c:v>0.10069689732100411</c:v>
                </c:pt>
                <c:pt idx="12">
                  <c:v>9.1542633928185554E-2</c:v>
                </c:pt>
                <c:pt idx="13">
                  <c:v>8.3220576298350474E-2</c:v>
                </c:pt>
                <c:pt idx="14">
                  <c:v>7.5655069362136798E-2</c:v>
                </c:pt>
                <c:pt idx="15">
                  <c:v>6.8777335783760732E-2</c:v>
                </c:pt>
                <c:pt idx="16">
                  <c:v>6.2524850712509752E-2</c:v>
                </c:pt>
                <c:pt idx="17">
                  <c:v>5.6840773375008855E-2</c:v>
                </c:pt>
                <c:pt idx="18">
                  <c:v>5.1673430340917134E-2</c:v>
                </c:pt>
                <c:pt idx="19">
                  <c:v>4.6975845764470121E-2</c:v>
                </c:pt>
                <c:pt idx="20">
                  <c:v>4.2705314331336466E-2</c:v>
                </c:pt>
                <c:pt idx="21">
                  <c:v>3.8823013028487695E-2</c:v>
                </c:pt>
                <c:pt idx="22">
                  <c:v>3.5293648207716084E-2</c:v>
                </c:pt>
                <c:pt idx="23">
                  <c:v>3.2085134734287341E-2</c:v>
                </c:pt>
                <c:pt idx="24">
                  <c:v>2.9168304303897583E-2</c:v>
                </c:pt>
                <c:pt idx="25">
                  <c:v>2.6516640276270532E-2</c:v>
                </c:pt>
                <c:pt idx="26">
                  <c:v>2.4106036614791389E-2</c:v>
                </c:pt>
                <c:pt idx="27">
                  <c:v>2.1914578740719441E-2</c:v>
                </c:pt>
                <c:pt idx="28">
                  <c:v>1.9922344309744947E-2</c:v>
                </c:pt>
                <c:pt idx="29">
                  <c:v>1.8111222099768131E-2</c:v>
                </c:pt>
                <c:pt idx="30">
                  <c:v>1.591200000000003E-2</c:v>
                </c:pt>
                <c:pt idx="31">
                  <c:v>1.4465454545454573E-2</c:v>
                </c:pt>
                <c:pt idx="32">
                  <c:v>1.3150413223140516E-2</c:v>
                </c:pt>
                <c:pt idx="33">
                  <c:v>1.1954921111945925E-2</c:v>
                </c:pt>
                <c:pt idx="34">
                  <c:v>1.0868110101769022E-2</c:v>
                </c:pt>
                <c:pt idx="35">
                  <c:v>9.8801000925172917E-3</c:v>
                </c:pt>
                <c:pt idx="36">
                  <c:v>8.9819091750157169E-3</c:v>
                </c:pt>
                <c:pt idx="37">
                  <c:v>8.1653719772870163E-3</c:v>
                </c:pt>
                <c:pt idx="38">
                  <c:v>7.4230654338972865E-3</c:v>
                </c:pt>
                <c:pt idx="39">
                  <c:v>6.7482413035429862E-3</c:v>
                </c:pt>
                <c:pt idx="40">
                  <c:v>6.1347648214027141E-3</c:v>
                </c:pt>
                <c:pt idx="41">
                  <c:v>5.5770589285479219E-3</c:v>
                </c:pt>
                <c:pt idx="42">
                  <c:v>5.0700535714072008E-3</c:v>
                </c:pt>
                <c:pt idx="43">
                  <c:v>4.6091396103701832E-3</c:v>
                </c:pt>
                <c:pt idx="44">
                  <c:v>4.1901269185183479E-3</c:v>
                </c:pt>
                <c:pt idx="45">
                  <c:v>3.8092062895621341E-3</c:v>
                </c:pt>
                <c:pt idx="46">
                  <c:v>3.4629148086928489E-3</c:v>
                </c:pt>
                <c:pt idx="47">
                  <c:v>3.1481043715389529E-3</c:v>
                </c:pt>
                <c:pt idx="48">
                  <c:v>2.8619130650354117E-3</c:v>
                </c:pt>
                <c:pt idx="49">
                  <c:v>2.6017391500321924E-3</c:v>
                </c:pt>
                <c:pt idx="50">
                  <c:v>2.3652174091201746E-3</c:v>
                </c:pt>
                <c:pt idx="51">
                  <c:v>2.1501976446547037E-3</c:v>
                </c:pt>
                <c:pt idx="52">
                  <c:v>1.9547251315042758E-3</c:v>
                </c:pt>
                <c:pt idx="53">
                  <c:v>1.7770228468220687E-3</c:v>
                </c:pt>
                <c:pt idx="54">
                  <c:v>1.6154753152927898E-3</c:v>
                </c:pt>
                <c:pt idx="55">
                  <c:v>1.468613922993445E-3</c:v>
                </c:pt>
                <c:pt idx="56">
                  <c:v>1.3351035663576769E-3</c:v>
                </c:pt>
                <c:pt idx="57">
                  <c:v>1.2137305148706154E-3</c:v>
                </c:pt>
                <c:pt idx="58">
                  <c:v>1.1033913771551047E-3</c:v>
                </c:pt>
                <c:pt idx="59">
                  <c:v>1.0030830701410042E-3</c:v>
                </c:pt>
                <c:pt idx="60">
                  <c:v>9.1189370012818556E-4</c:v>
                </c:pt>
                <c:pt idx="61">
                  <c:v>8.2899427284380506E-4</c:v>
                </c:pt>
                <c:pt idx="62">
                  <c:v>7.5363115713073176E-4</c:v>
                </c:pt>
                <c:pt idx="63">
                  <c:v>6.8511923375521048E-4</c:v>
                </c:pt>
                <c:pt idx="64">
                  <c:v>6.2283566705019142E-4</c:v>
                </c:pt>
                <c:pt idx="65">
                  <c:v>5.6621424277290128E-4</c:v>
                </c:pt>
              </c:numCache>
            </c:numRef>
          </c:yVal>
          <c:smooth val="0"/>
        </c:ser>
        <c:ser>
          <c:idx val="1"/>
          <c:order val="3"/>
          <c:tx>
            <c:strRef>
              <c:f>Sheet1!$J$7</c:f>
              <c:strCache>
                <c:ptCount val="1"/>
                <c:pt idx="0">
                  <c:v>Square Market Price</c:v>
                </c:pt>
              </c:strCache>
            </c:strRef>
          </c:tx>
          <c:marker>
            <c:symbol val="diamond"/>
            <c:size val="5"/>
          </c:marker>
          <c:dLbls>
            <c:dLbl>
              <c:idx val="0"/>
              <c:layout>
                <c:manualLayout>
                  <c:x val="-1.1944404908429436E-2"/>
                  <c:y val="2.6086956521739129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1.5943115790503289E-2"/>
                  <c:y val="-1.449275362318840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.00" sourceLinked="0"/>
            <c:showLegendKey val="0"/>
            <c:showVal val="1"/>
            <c:showCatName val="1"/>
            <c:showSerName val="0"/>
            <c:showPercent val="0"/>
            <c:showBubbleSize val="0"/>
            <c:showLeaderLines val="0"/>
          </c:dLbls>
          <c:xVal>
            <c:numRef>
              <c:f>Sheet1!$B$8:$B$9</c:f>
              <c:numCache>
                <c:formatCode>#,##0</c:formatCode>
                <c:ptCount val="2"/>
                <c:pt idx="0">
                  <c:v>1083333.3333333323</c:v>
                </c:pt>
                <c:pt idx="1">
                  <c:v>1083333.3333333323</c:v>
                </c:pt>
              </c:numCache>
            </c:numRef>
          </c:xVal>
          <c:yVal>
            <c:numRef>
              <c:f>Sheet1!$J$8:$J$9</c:f>
              <c:numCache>
                <c:formatCode>General</c:formatCode>
                <c:ptCount val="2"/>
                <c:pt idx="0">
                  <c:v>0</c:v>
                </c:pt>
                <c:pt idx="1">
                  <c:v>5.1873611111111115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048576"/>
        <c:axId val="89059328"/>
      </c:scatterChart>
      <c:valAx>
        <c:axId val="89048576"/>
        <c:scaling>
          <c:orientation val="minMax"/>
          <c:max val="20000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Median</a:t>
                </a:r>
                <a:r>
                  <a:rPr lang="en-US" baseline="0"/>
                  <a:t> Block Size, MB</a:t>
                </a:r>
                <a:endParaRPr lang="en-US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89059328"/>
        <c:crosses val="autoZero"/>
        <c:crossBetween val="midCat"/>
        <c:majorUnit val="500000"/>
        <c:dispUnits>
          <c:builtInUnit val="millions"/>
        </c:dispUnits>
      </c:valAx>
      <c:valAx>
        <c:axId val="89059328"/>
        <c:scaling>
          <c:orientation val="minMax"/>
          <c:max val="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Single TX Price,</a:t>
                </a:r>
                <a:r>
                  <a:rPr lang="en-US" baseline="0"/>
                  <a:t> USD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5.1695914050141595E-2"/>
              <c:y val="0.3750229373502225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89048576"/>
        <c:crosses val="autoZero"/>
        <c:crossBetween val="midCat"/>
      </c:valAx>
    </c:plotArea>
    <c:legend>
      <c:legendPos val="l"/>
      <c:legendEntry>
        <c:idx val="3"/>
        <c:delete val="1"/>
      </c:legendEntry>
      <c:layout>
        <c:manualLayout>
          <c:xMode val="edge"/>
          <c:yMode val="edge"/>
          <c:x val="0.20799949650496793"/>
          <c:y val="0.17370877553349309"/>
          <c:w val="0.46449358043834127"/>
          <c:h val="0.12318110236220473"/>
        </c:manualLayout>
      </c:layout>
      <c:overlay val="1"/>
      <c:spPr>
        <a:solidFill>
          <a:schemeClr val="bg1"/>
        </a:solidFill>
        <a:ln>
          <a:solidFill>
            <a:schemeClr val="accent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Single TX Price</a:t>
            </a:r>
          </a:p>
          <a:p>
            <a:pPr>
              <a:defRPr/>
            </a:pPr>
            <a:r>
              <a:rPr lang="en-US" sz="1200"/>
              <a:t>(</a:t>
            </a:r>
            <a:r>
              <a:rPr lang="en-US" sz="1200" baseline="0"/>
              <a:t>current penalty, currently feasible min. fee)</a:t>
            </a:r>
            <a:endParaRPr lang="en-US" sz="1200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Sheet1!$M$14</c:f>
              <c:strCache>
                <c:ptCount val="1"/>
                <c:pt idx="0">
                  <c:v>Square Market Price</c:v>
                </c:pt>
              </c:strCache>
            </c:strRef>
          </c:tx>
          <c:marker>
            <c:symbol val="none"/>
          </c:marker>
          <c:xVal>
            <c:numRef>
              <c:f>Sheet1!$B$15:$B$239</c:f>
              <c:numCache>
                <c:formatCode>#,##0</c:formatCode>
                <c:ptCount val="225"/>
                <c:pt idx="0">
                  <c:v>60000</c:v>
                </c:pt>
                <c:pt idx="1">
                  <c:v>66000</c:v>
                </c:pt>
                <c:pt idx="2">
                  <c:v>72600</c:v>
                </c:pt>
                <c:pt idx="3">
                  <c:v>79860</c:v>
                </c:pt>
                <c:pt idx="4">
                  <c:v>87846</c:v>
                </c:pt>
                <c:pt idx="5">
                  <c:v>96630.6</c:v>
                </c:pt>
                <c:pt idx="6">
                  <c:v>106293.66000000002</c:v>
                </c:pt>
                <c:pt idx="7">
                  <c:v>116923.02600000003</c:v>
                </c:pt>
                <c:pt idx="8">
                  <c:v>128615.32860000004</c:v>
                </c:pt>
                <c:pt idx="9">
                  <c:v>141476.86146000004</c:v>
                </c:pt>
                <c:pt idx="10">
                  <c:v>155624.54760600007</c:v>
                </c:pt>
                <c:pt idx="11">
                  <c:v>171187.00236660009</c:v>
                </c:pt>
                <c:pt idx="12">
                  <c:v>188305.70260326011</c:v>
                </c:pt>
                <c:pt idx="13">
                  <c:v>207136.27286358614</c:v>
                </c:pt>
                <c:pt idx="14">
                  <c:v>227849.90014994476</c:v>
                </c:pt>
                <c:pt idx="15">
                  <c:v>250634.89016493925</c:v>
                </c:pt>
                <c:pt idx="16">
                  <c:v>275698.37918143318</c:v>
                </c:pt>
                <c:pt idx="17">
                  <c:v>303268.21709957655</c:v>
                </c:pt>
                <c:pt idx="18">
                  <c:v>333595.03880953422</c:v>
                </c:pt>
                <c:pt idx="19">
                  <c:v>366954.54269048769</c:v>
                </c:pt>
                <c:pt idx="20">
                  <c:v>403649.99695953651</c:v>
                </c:pt>
                <c:pt idx="21">
                  <c:v>444014.99665549019</c:v>
                </c:pt>
                <c:pt idx="22">
                  <c:v>488416.49632103927</c:v>
                </c:pt>
                <c:pt idx="23">
                  <c:v>537258.14595314325</c:v>
                </c:pt>
                <c:pt idx="24">
                  <c:v>590983.96054845757</c:v>
                </c:pt>
                <c:pt idx="25">
                  <c:v>650082.35660330334</c:v>
                </c:pt>
                <c:pt idx="26">
                  <c:v>715090.59226363373</c:v>
                </c:pt>
                <c:pt idx="27">
                  <c:v>786599.65148999717</c:v>
                </c:pt>
                <c:pt idx="28">
                  <c:v>865259.61663899699</c:v>
                </c:pt>
                <c:pt idx="29">
                  <c:v>951785.57830289681</c:v>
                </c:pt>
                <c:pt idx="30">
                  <c:v>1083333.3333333323</c:v>
                </c:pt>
                <c:pt idx="31">
                  <c:v>1191666.6666666656</c:v>
                </c:pt>
                <c:pt idx="32">
                  <c:v>1310833.3333333323</c:v>
                </c:pt>
                <c:pt idx="33">
                  <c:v>1441916.6666666656</c:v>
                </c:pt>
                <c:pt idx="34">
                  <c:v>1586108.3333333323</c:v>
                </c:pt>
                <c:pt idx="35">
                  <c:v>1744719.1666666658</c:v>
                </c:pt>
                <c:pt idx="36">
                  <c:v>1919191.0833333326</c:v>
                </c:pt>
                <c:pt idx="37">
                  <c:v>2111110.191666666</c:v>
                </c:pt>
                <c:pt idx="38">
                  <c:v>2322221.210833333</c:v>
                </c:pt>
                <c:pt idx="39">
                  <c:v>2554443.3319166666</c:v>
                </c:pt>
                <c:pt idx="40">
                  <c:v>2809887.6651083333</c:v>
                </c:pt>
                <c:pt idx="41">
                  <c:v>3090876.4316191669</c:v>
                </c:pt>
                <c:pt idx="42">
                  <c:v>3399964.074781084</c:v>
                </c:pt>
                <c:pt idx="43">
                  <c:v>3739960.4822591925</c:v>
                </c:pt>
                <c:pt idx="44">
                  <c:v>4113956.5304851122</c:v>
                </c:pt>
                <c:pt idx="45">
                  <c:v>4525352.1835336238</c:v>
                </c:pt>
                <c:pt idx="46">
                  <c:v>4977887.4018869866</c:v>
                </c:pt>
                <c:pt idx="47">
                  <c:v>5475676.1420756858</c:v>
                </c:pt>
                <c:pt idx="48">
                  <c:v>6023243.7562832553</c:v>
                </c:pt>
                <c:pt idx="49">
                  <c:v>6625568.1319115814</c:v>
                </c:pt>
                <c:pt idx="50">
                  <c:v>7288124.9451027401</c:v>
                </c:pt>
                <c:pt idx="51">
                  <c:v>8016937.4396130145</c:v>
                </c:pt>
                <c:pt idx="52">
                  <c:v>8818631.183574317</c:v>
                </c:pt>
                <c:pt idx="53">
                  <c:v>9700494.30193175</c:v>
                </c:pt>
                <c:pt idx="54">
                  <c:v>10670543.732124927</c:v>
                </c:pt>
                <c:pt idx="55">
                  <c:v>11737598.10533742</c:v>
                </c:pt>
                <c:pt idx="56">
                  <c:v>12911357.915871164</c:v>
                </c:pt>
                <c:pt idx="57">
                  <c:v>14202493.707458282</c:v>
                </c:pt>
                <c:pt idx="58">
                  <c:v>15622743.078204112</c:v>
                </c:pt>
                <c:pt idx="59">
                  <c:v>17185017.386024524</c:v>
                </c:pt>
                <c:pt idx="60">
                  <c:v>18903519.124626979</c:v>
                </c:pt>
                <c:pt idx="61">
                  <c:v>20793871.037089679</c:v>
                </c:pt>
                <c:pt idx="62">
                  <c:v>22873258.140798651</c:v>
                </c:pt>
                <c:pt idx="63">
                  <c:v>25160583.954878516</c:v>
                </c:pt>
                <c:pt idx="64">
                  <c:v>27676642.350366369</c:v>
                </c:pt>
                <c:pt idx="65">
                  <c:v>30444306.585403007</c:v>
                </c:pt>
              </c:numCache>
            </c:numRef>
          </c:xVal>
          <c:yVal>
            <c:numRef>
              <c:f>Sheet1!$M$15:$M$239</c:f>
              <c:numCache>
                <c:formatCode>General</c:formatCode>
                <c:ptCount val="225"/>
                <c:pt idx="0">
                  <c:v>5.1873611111111133</c:v>
                </c:pt>
                <c:pt idx="1">
                  <c:v>5.1873611111111124</c:v>
                </c:pt>
                <c:pt idx="2">
                  <c:v>5.1873611111111098</c:v>
                </c:pt>
                <c:pt idx="3">
                  <c:v>5.1873611111111115</c:v>
                </c:pt>
                <c:pt idx="4">
                  <c:v>5.1873611111111089</c:v>
                </c:pt>
                <c:pt idx="5">
                  <c:v>5.1873611111111133</c:v>
                </c:pt>
                <c:pt idx="6">
                  <c:v>5.1873611111111106</c:v>
                </c:pt>
                <c:pt idx="7">
                  <c:v>5.1873611111111151</c:v>
                </c:pt>
                <c:pt idx="8">
                  <c:v>5.187361111111116</c:v>
                </c:pt>
                <c:pt idx="9">
                  <c:v>5.1873611111111053</c:v>
                </c:pt>
                <c:pt idx="10">
                  <c:v>5.1873611111111124</c:v>
                </c:pt>
                <c:pt idx="11">
                  <c:v>5.1873611111111124</c:v>
                </c:pt>
                <c:pt idx="12">
                  <c:v>5.1873611111111106</c:v>
                </c:pt>
                <c:pt idx="13">
                  <c:v>5.187361111111108</c:v>
                </c:pt>
                <c:pt idx="14">
                  <c:v>5.1873611111111089</c:v>
                </c:pt>
                <c:pt idx="15">
                  <c:v>5.187361111111116</c:v>
                </c:pt>
                <c:pt idx="16">
                  <c:v>5.1873611111111133</c:v>
                </c:pt>
                <c:pt idx="17">
                  <c:v>5.1873611111111124</c:v>
                </c:pt>
                <c:pt idx="18">
                  <c:v>5.1873611111111204</c:v>
                </c:pt>
                <c:pt idx="19">
                  <c:v>5.1873611111111018</c:v>
                </c:pt>
                <c:pt idx="20">
                  <c:v>5.1873611111110947</c:v>
                </c:pt>
                <c:pt idx="21">
                  <c:v>5.1873611111111133</c:v>
                </c:pt>
                <c:pt idx="22">
                  <c:v>5.1873611111111018</c:v>
                </c:pt>
                <c:pt idx="23">
                  <c:v>5.1873611111110973</c:v>
                </c:pt>
                <c:pt idx="24">
                  <c:v>5.1873611111111328</c:v>
                </c:pt>
                <c:pt idx="25">
                  <c:v>5.187361111111132</c:v>
                </c:pt>
                <c:pt idx="26">
                  <c:v>5.187361111111092</c:v>
                </c:pt>
                <c:pt idx="27">
                  <c:v>5.1873611111110867</c:v>
                </c:pt>
                <c:pt idx="28">
                  <c:v>5.1873611111111355</c:v>
                </c:pt>
                <c:pt idx="29">
                  <c:v>5.1873611111111435</c:v>
                </c:pt>
                <c:pt idx="30">
                  <c:v>5.1873611111111115</c:v>
                </c:pt>
                <c:pt idx="31">
                  <c:v>5.7060972222222226</c:v>
                </c:pt>
                <c:pt idx="32">
                  <c:v>6.2767069444444434</c:v>
                </c:pt>
                <c:pt idx="33">
                  <c:v>6.9043776388888904</c:v>
                </c:pt>
                <c:pt idx="34">
                  <c:v>7.5948154027777797</c:v>
                </c:pt>
                <c:pt idx="35">
                  <c:v>8.3542969430555587</c:v>
                </c:pt>
                <c:pt idx="36">
                  <c:v>9.1897266373611153</c:v>
                </c:pt>
                <c:pt idx="37">
                  <c:v>10.108699301097227</c:v>
                </c:pt>
                <c:pt idx="38">
                  <c:v>11.119569231206953</c:v>
                </c:pt>
                <c:pt idx="39">
                  <c:v>12.231526154327652</c:v>
                </c:pt>
                <c:pt idx="40">
                  <c:v>13.454678769760415</c:v>
                </c:pt>
                <c:pt idx="41">
                  <c:v>14.800146646736456</c:v>
                </c:pt>
                <c:pt idx="42">
                  <c:v>16.280161311410104</c:v>
                </c:pt>
                <c:pt idx="43">
                  <c:v>17.908177442551118</c:v>
                </c:pt>
                <c:pt idx="44">
                  <c:v>19.698995186806226</c:v>
                </c:pt>
                <c:pt idx="45">
                  <c:v>21.668894705486853</c:v>
                </c:pt>
                <c:pt idx="46">
                  <c:v>23.835784176035549</c:v>
                </c:pt>
                <c:pt idx="47">
                  <c:v>26.219362593639097</c:v>
                </c:pt>
                <c:pt idx="48">
                  <c:v>28.841298853003011</c:v>
                </c:pt>
                <c:pt idx="49">
                  <c:v>31.725428738303318</c:v>
                </c:pt>
                <c:pt idx="50">
                  <c:v>34.897971612133652</c:v>
                </c:pt>
                <c:pt idx="51">
                  <c:v>38.387768773347013</c:v>
                </c:pt>
                <c:pt idx="52">
                  <c:v>42.226545650681722</c:v>
                </c:pt>
                <c:pt idx="53">
                  <c:v>46.449200215749904</c:v>
                </c:pt>
                <c:pt idx="54">
                  <c:v>51.094120237324915</c:v>
                </c:pt>
                <c:pt idx="55">
                  <c:v>56.203532261057411</c:v>
                </c:pt>
                <c:pt idx="56">
                  <c:v>61.823885487163139</c:v>
                </c:pt>
                <c:pt idx="57">
                  <c:v>68.006274035879471</c:v>
                </c:pt>
                <c:pt idx="58">
                  <c:v>74.80690143946741</c:v>
                </c:pt>
                <c:pt idx="59">
                  <c:v>82.287591583414184</c:v>
                </c:pt>
                <c:pt idx="60">
                  <c:v>90.516350741755602</c:v>
                </c:pt>
                <c:pt idx="61">
                  <c:v>99.567985815931195</c:v>
                </c:pt>
                <c:pt idx="62">
                  <c:v>109.5247843975243</c:v>
                </c:pt>
                <c:pt idx="63">
                  <c:v>120.47726283727673</c:v>
                </c:pt>
                <c:pt idx="64">
                  <c:v>132.52498912100441</c:v>
                </c:pt>
                <c:pt idx="65">
                  <c:v>145.77748803310485</c:v>
                </c:pt>
              </c:numCache>
            </c:numRef>
          </c:yVal>
          <c:smooth val="0"/>
        </c:ser>
        <c:ser>
          <c:idx val="3"/>
          <c:order val="1"/>
          <c:tx>
            <c:strRef>
              <c:f>Sheet1!$L$14</c:f>
              <c:strCache>
                <c:ptCount val="1"/>
                <c:pt idx="0">
                  <c:v>Linear Market Price</c:v>
                </c:pt>
              </c:strCache>
            </c:strRef>
          </c:tx>
          <c:marker>
            <c:symbol val="none"/>
          </c:marker>
          <c:xVal>
            <c:numRef>
              <c:f>Sheet1!$B$15:$B$239</c:f>
              <c:numCache>
                <c:formatCode>#,##0</c:formatCode>
                <c:ptCount val="225"/>
                <c:pt idx="0">
                  <c:v>60000</c:v>
                </c:pt>
                <c:pt idx="1">
                  <c:v>66000</c:v>
                </c:pt>
                <c:pt idx="2">
                  <c:v>72600</c:v>
                </c:pt>
                <c:pt idx="3">
                  <c:v>79860</c:v>
                </c:pt>
                <c:pt idx="4">
                  <c:v>87846</c:v>
                </c:pt>
                <c:pt idx="5">
                  <c:v>96630.6</c:v>
                </c:pt>
                <c:pt idx="6">
                  <c:v>106293.66000000002</c:v>
                </c:pt>
                <c:pt idx="7">
                  <c:v>116923.02600000003</c:v>
                </c:pt>
                <c:pt idx="8">
                  <c:v>128615.32860000004</c:v>
                </c:pt>
                <c:pt idx="9">
                  <c:v>141476.86146000004</c:v>
                </c:pt>
                <c:pt idx="10">
                  <c:v>155624.54760600007</c:v>
                </c:pt>
                <c:pt idx="11">
                  <c:v>171187.00236660009</c:v>
                </c:pt>
                <c:pt idx="12">
                  <c:v>188305.70260326011</c:v>
                </c:pt>
                <c:pt idx="13">
                  <c:v>207136.27286358614</c:v>
                </c:pt>
                <c:pt idx="14">
                  <c:v>227849.90014994476</c:v>
                </c:pt>
                <c:pt idx="15">
                  <c:v>250634.89016493925</c:v>
                </c:pt>
                <c:pt idx="16">
                  <c:v>275698.37918143318</c:v>
                </c:pt>
                <c:pt idx="17">
                  <c:v>303268.21709957655</c:v>
                </c:pt>
                <c:pt idx="18">
                  <c:v>333595.03880953422</c:v>
                </c:pt>
                <c:pt idx="19">
                  <c:v>366954.54269048769</c:v>
                </c:pt>
                <c:pt idx="20">
                  <c:v>403649.99695953651</c:v>
                </c:pt>
                <c:pt idx="21">
                  <c:v>444014.99665549019</c:v>
                </c:pt>
                <c:pt idx="22">
                  <c:v>488416.49632103927</c:v>
                </c:pt>
                <c:pt idx="23">
                  <c:v>537258.14595314325</c:v>
                </c:pt>
                <c:pt idx="24">
                  <c:v>590983.96054845757</c:v>
                </c:pt>
                <c:pt idx="25">
                  <c:v>650082.35660330334</c:v>
                </c:pt>
                <c:pt idx="26">
                  <c:v>715090.59226363373</c:v>
                </c:pt>
                <c:pt idx="27">
                  <c:v>786599.65148999717</c:v>
                </c:pt>
                <c:pt idx="28">
                  <c:v>865259.61663899699</c:v>
                </c:pt>
                <c:pt idx="29">
                  <c:v>951785.57830289681</c:v>
                </c:pt>
                <c:pt idx="30">
                  <c:v>1083333.3333333323</c:v>
                </c:pt>
                <c:pt idx="31">
                  <c:v>1191666.6666666656</c:v>
                </c:pt>
                <c:pt idx="32">
                  <c:v>1310833.3333333323</c:v>
                </c:pt>
                <c:pt idx="33">
                  <c:v>1441916.6666666656</c:v>
                </c:pt>
                <c:pt idx="34">
                  <c:v>1586108.3333333323</c:v>
                </c:pt>
                <c:pt idx="35">
                  <c:v>1744719.1666666658</c:v>
                </c:pt>
                <c:pt idx="36">
                  <c:v>1919191.0833333326</c:v>
                </c:pt>
                <c:pt idx="37">
                  <c:v>2111110.191666666</c:v>
                </c:pt>
                <c:pt idx="38">
                  <c:v>2322221.210833333</c:v>
                </c:pt>
                <c:pt idx="39">
                  <c:v>2554443.3319166666</c:v>
                </c:pt>
                <c:pt idx="40">
                  <c:v>2809887.6651083333</c:v>
                </c:pt>
                <c:pt idx="41">
                  <c:v>3090876.4316191669</c:v>
                </c:pt>
                <c:pt idx="42">
                  <c:v>3399964.074781084</c:v>
                </c:pt>
                <c:pt idx="43">
                  <c:v>3739960.4822591925</c:v>
                </c:pt>
                <c:pt idx="44">
                  <c:v>4113956.5304851122</c:v>
                </c:pt>
                <c:pt idx="45">
                  <c:v>4525352.1835336238</c:v>
                </c:pt>
                <c:pt idx="46">
                  <c:v>4977887.4018869866</c:v>
                </c:pt>
                <c:pt idx="47">
                  <c:v>5475676.1420756858</c:v>
                </c:pt>
                <c:pt idx="48">
                  <c:v>6023243.7562832553</c:v>
                </c:pt>
                <c:pt idx="49">
                  <c:v>6625568.1319115814</c:v>
                </c:pt>
                <c:pt idx="50">
                  <c:v>7288124.9451027401</c:v>
                </c:pt>
                <c:pt idx="51">
                  <c:v>8016937.4396130145</c:v>
                </c:pt>
                <c:pt idx="52">
                  <c:v>8818631.183574317</c:v>
                </c:pt>
                <c:pt idx="53">
                  <c:v>9700494.30193175</c:v>
                </c:pt>
                <c:pt idx="54">
                  <c:v>10670543.732124927</c:v>
                </c:pt>
                <c:pt idx="55">
                  <c:v>11737598.10533742</c:v>
                </c:pt>
                <c:pt idx="56">
                  <c:v>12911357.915871164</c:v>
                </c:pt>
                <c:pt idx="57">
                  <c:v>14202493.707458282</c:v>
                </c:pt>
                <c:pt idx="58">
                  <c:v>15622743.078204112</c:v>
                </c:pt>
                <c:pt idx="59">
                  <c:v>17185017.386024524</c:v>
                </c:pt>
                <c:pt idx="60">
                  <c:v>18903519.124626979</c:v>
                </c:pt>
                <c:pt idx="61">
                  <c:v>20793871.037089679</c:v>
                </c:pt>
                <c:pt idx="62">
                  <c:v>22873258.140798651</c:v>
                </c:pt>
                <c:pt idx="63">
                  <c:v>25160583.954878516</c:v>
                </c:pt>
                <c:pt idx="64">
                  <c:v>27676642.350366369</c:v>
                </c:pt>
                <c:pt idx="65">
                  <c:v>30444306.585403007</c:v>
                </c:pt>
              </c:numCache>
            </c:numRef>
          </c:xVal>
          <c:yVal>
            <c:numRef>
              <c:f>Sheet1!$L$15:$L$239</c:f>
              <c:numCache>
                <c:formatCode>General</c:formatCode>
                <c:ptCount val="225"/>
                <c:pt idx="0">
                  <c:v>5.1873611111111133</c:v>
                </c:pt>
                <c:pt idx="1">
                  <c:v>4.7157828282828289</c:v>
                </c:pt>
                <c:pt idx="2">
                  <c:v>4.2870752984389338</c:v>
                </c:pt>
                <c:pt idx="3">
                  <c:v>3.8973411803990325</c:v>
                </c:pt>
                <c:pt idx="4">
                  <c:v>3.543037436726391</c:v>
                </c:pt>
                <c:pt idx="5">
                  <c:v>3.2209431242967215</c:v>
                </c:pt>
                <c:pt idx="6">
                  <c:v>2.9281301129970179</c:v>
                </c:pt>
                <c:pt idx="7">
                  <c:v>2.6619364663609271</c:v>
                </c:pt>
                <c:pt idx="8">
                  <c:v>2.4199422421462979</c:v>
                </c:pt>
                <c:pt idx="9">
                  <c:v>2.1999474928602663</c:v>
                </c:pt>
                <c:pt idx="10">
                  <c:v>1.999952266236608</c:v>
                </c:pt>
                <c:pt idx="11">
                  <c:v>1.8181384238514617</c:v>
                </c:pt>
                <c:pt idx="12">
                  <c:v>1.6528531125922372</c:v>
                </c:pt>
                <c:pt idx="13">
                  <c:v>1.5025937387202148</c:v>
                </c:pt>
                <c:pt idx="14">
                  <c:v>1.3659943079274683</c:v>
                </c:pt>
                <c:pt idx="15">
                  <c:v>1.2418130072067906</c:v>
                </c:pt>
                <c:pt idx="16">
                  <c:v>1.1289209156425366</c:v>
                </c:pt>
                <c:pt idx="17">
                  <c:v>1.0262917414932149</c:v>
                </c:pt>
                <c:pt idx="18">
                  <c:v>0.93299249226656045</c:v>
                </c:pt>
                <c:pt idx="19">
                  <c:v>0.84817499296959697</c:v>
                </c:pt>
                <c:pt idx="20">
                  <c:v>0.77106817542690542</c:v>
                </c:pt>
                <c:pt idx="21">
                  <c:v>0.70097106856991631</c:v>
                </c:pt>
                <c:pt idx="22">
                  <c:v>0.63724642597264969</c:v>
                </c:pt>
                <c:pt idx="23">
                  <c:v>0.5793149327024083</c:v>
                </c:pt>
                <c:pt idx="24">
                  <c:v>0.5266499388203747</c:v>
                </c:pt>
                <c:pt idx="25">
                  <c:v>0.47877267165488607</c:v>
                </c:pt>
                <c:pt idx="26">
                  <c:v>0.43524788332262032</c:v>
                </c:pt>
                <c:pt idx="27">
                  <c:v>0.3956798939296543</c:v>
                </c:pt>
                <c:pt idx="28">
                  <c:v>0.35970899448150734</c:v>
                </c:pt>
                <c:pt idx="29">
                  <c:v>0.32700817680137079</c:v>
                </c:pt>
                <c:pt idx="30">
                  <c:v>0.28730000000000022</c:v>
                </c:pt>
                <c:pt idx="31">
                  <c:v>0.28730000000000028</c:v>
                </c:pt>
                <c:pt idx="32">
                  <c:v>0.28730000000000022</c:v>
                </c:pt>
                <c:pt idx="33">
                  <c:v>0.28730000000000022</c:v>
                </c:pt>
                <c:pt idx="34">
                  <c:v>0.28730000000000028</c:v>
                </c:pt>
                <c:pt idx="35">
                  <c:v>0.28730000000000022</c:v>
                </c:pt>
                <c:pt idx="36">
                  <c:v>0.28730000000000022</c:v>
                </c:pt>
                <c:pt idx="37">
                  <c:v>0.28730000000000028</c:v>
                </c:pt>
                <c:pt idx="38">
                  <c:v>0.28730000000000028</c:v>
                </c:pt>
                <c:pt idx="39">
                  <c:v>0.28730000000000028</c:v>
                </c:pt>
                <c:pt idx="40">
                  <c:v>0.28730000000000022</c:v>
                </c:pt>
                <c:pt idx="41">
                  <c:v>0.28730000000000022</c:v>
                </c:pt>
                <c:pt idx="42">
                  <c:v>0.28730000000000022</c:v>
                </c:pt>
                <c:pt idx="43">
                  <c:v>0.28730000000000028</c:v>
                </c:pt>
                <c:pt idx="44">
                  <c:v>0.28730000000000028</c:v>
                </c:pt>
                <c:pt idx="45">
                  <c:v>0.28730000000000028</c:v>
                </c:pt>
                <c:pt idx="46">
                  <c:v>0.28730000000000028</c:v>
                </c:pt>
                <c:pt idx="47">
                  <c:v>0.28730000000000022</c:v>
                </c:pt>
                <c:pt idx="48">
                  <c:v>0.28730000000000028</c:v>
                </c:pt>
                <c:pt idx="49">
                  <c:v>0.28730000000000028</c:v>
                </c:pt>
                <c:pt idx="50">
                  <c:v>0.28730000000000028</c:v>
                </c:pt>
                <c:pt idx="51">
                  <c:v>0.28730000000000028</c:v>
                </c:pt>
                <c:pt idx="52">
                  <c:v>0.28730000000000022</c:v>
                </c:pt>
                <c:pt idx="53">
                  <c:v>0.28730000000000022</c:v>
                </c:pt>
                <c:pt idx="54">
                  <c:v>0.28730000000000033</c:v>
                </c:pt>
                <c:pt idx="55">
                  <c:v>0.28730000000000028</c:v>
                </c:pt>
                <c:pt idx="56">
                  <c:v>0.28730000000000022</c:v>
                </c:pt>
                <c:pt idx="57">
                  <c:v>0.28730000000000028</c:v>
                </c:pt>
                <c:pt idx="58">
                  <c:v>0.28730000000000022</c:v>
                </c:pt>
                <c:pt idx="59">
                  <c:v>0.28730000000000028</c:v>
                </c:pt>
                <c:pt idx="60">
                  <c:v>0.28730000000000028</c:v>
                </c:pt>
                <c:pt idx="61">
                  <c:v>0.28730000000000028</c:v>
                </c:pt>
                <c:pt idx="62">
                  <c:v>0.28730000000000028</c:v>
                </c:pt>
                <c:pt idx="63">
                  <c:v>0.28730000000000022</c:v>
                </c:pt>
                <c:pt idx="64">
                  <c:v>0.28730000000000028</c:v>
                </c:pt>
                <c:pt idx="65">
                  <c:v>0.28730000000000022</c:v>
                </c:pt>
              </c:numCache>
            </c:numRef>
          </c:yVal>
          <c:smooth val="0"/>
        </c:ser>
        <c:ser>
          <c:idx val="0"/>
          <c:order val="2"/>
          <c:tx>
            <c:strRef>
              <c:f>Sheet1!$N$14</c:f>
              <c:strCache>
                <c:ptCount val="1"/>
                <c:pt idx="0">
                  <c:v>Flat Market Price</c:v>
                </c:pt>
              </c:strCache>
            </c:strRef>
          </c:tx>
          <c:marker>
            <c:symbol val="none"/>
          </c:marker>
          <c:dPt>
            <c:idx val="0"/>
            <c:marker>
              <c:symbol val="auto"/>
            </c:marker>
            <c:bubble3D val="0"/>
          </c:dPt>
          <c:dLbls>
            <c:dLbl>
              <c:idx val="0"/>
              <c:layout>
                <c:manualLayout>
                  <c:x val="-0.18690061233512731"/>
                  <c:y val="-1.159420289855072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.00" sourceLinked="0"/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Sheet1!$B$15:$B$239</c:f>
              <c:numCache>
                <c:formatCode>#,##0</c:formatCode>
                <c:ptCount val="225"/>
                <c:pt idx="0">
                  <c:v>60000</c:v>
                </c:pt>
                <c:pt idx="1">
                  <c:v>66000</c:v>
                </c:pt>
                <c:pt idx="2">
                  <c:v>72600</c:v>
                </c:pt>
                <c:pt idx="3">
                  <c:v>79860</c:v>
                </c:pt>
                <c:pt idx="4">
                  <c:v>87846</c:v>
                </c:pt>
                <c:pt idx="5">
                  <c:v>96630.6</c:v>
                </c:pt>
                <c:pt idx="6">
                  <c:v>106293.66000000002</c:v>
                </c:pt>
                <c:pt idx="7">
                  <c:v>116923.02600000003</c:v>
                </c:pt>
                <c:pt idx="8">
                  <c:v>128615.32860000004</c:v>
                </c:pt>
                <c:pt idx="9">
                  <c:v>141476.86146000004</c:v>
                </c:pt>
                <c:pt idx="10">
                  <c:v>155624.54760600007</c:v>
                </c:pt>
                <c:pt idx="11">
                  <c:v>171187.00236660009</c:v>
                </c:pt>
                <c:pt idx="12">
                  <c:v>188305.70260326011</c:v>
                </c:pt>
                <c:pt idx="13">
                  <c:v>207136.27286358614</c:v>
                </c:pt>
                <c:pt idx="14">
                  <c:v>227849.90014994476</c:v>
                </c:pt>
                <c:pt idx="15">
                  <c:v>250634.89016493925</c:v>
                </c:pt>
                <c:pt idx="16">
                  <c:v>275698.37918143318</c:v>
                </c:pt>
                <c:pt idx="17">
                  <c:v>303268.21709957655</c:v>
                </c:pt>
                <c:pt idx="18">
                  <c:v>333595.03880953422</c:v>
                </c:pt>
                <c:pt idx="19">
                  <c:v>366954.54269048769</c:v>
                </c:pt>
                <c:pt idx="20">
                  <c:v>403649.99695953651</c:v>
                </c:pt>
                <c:pt idx="21">
                  <c:v>444014.99665549019</c:v>
                </c:pt>
                <c:pt idx="22">
                  <c:v>488416.49632103927</c:v>
                </c:pt>
                <c:pt idx="23">
                  <c:v>537258.14595314325</c:v>
                </c:pt>
                <c:pt idx="24">
                  <c:v>590983.96054845757</c:v>
                </c:pt>
                <c:pt idx="25">
                  <c:v>650082.35660330334</c:v>
                </c:pt>
                <c:pt idx="26">
                  <c:v>715090.59226363373</c:v>
                </c:pt>
                <c:pt idx="27">
                  <c:v>786599.65148999717</c:v>
                </c:pt>
                <c:pt idx="28">
                  <c:v>865259.61663899699</c:v>
                </c:pt>
                <c:pt idx="29">
                  <c:v>951785.57830289681</c:v>
                </c:pt>
                <c:pt idx="30">
                  <c:v>1083333.3333333323</c:v>
                </c:pt>
                <c:pt idx="31">
                  <c:v>1191666.6666666656</c:v>
                </c:pt>
                <c:pt idx="32">
                  <c:v>1310833.3333333323</c:v>
                </c:pt>
                <c:pt idx="33">
                  <c:v>1441916.6666666656</c:v>
                </c:pt>
                <c:pt idx="34">
                  <c:v>1586108.3333333323</c:v>
                </c:pt>
                <c:pt idx="35">
                  <c:v>1744719.1666666658</c:v>
                </c:pt>
                <c:pt idx="36">
                  <c:v>1919191.0833333326</c:v>
                </c:pt>
                <c:pt idx="37">
                  <c:v>2111110.191666666</c:v>
                </c:pt>
                <c:pt idx="38">
                  <c:v>2322221.210833333</c:v>
                </c:pt>
                <c:pt idx="39">
                  <c:v>2554443.3319166666</c:v>
                </c:pt>
                <c:pt idx="40">
                  <c:v>2809887.6651083333</c:v>
                </c:pt>
                <c:pt idx="41">
                  <c:v>3090876.4316191669</c:v>
                </c:pt>
                <c:pt idx="42">
                  <c:v>3399964.074781084</c:v>
                </c:pt>
                <c:pt idx="43">
                  <c:v>3739960.4822591925</c:v>
                </c:pt>
                <c:pt idx="44">
                  <c:v>4113956.5304851122</c:v>
                </c:pt>
                <c:pt idx="45">
                  <c:v>4525352.1835336238</c:v>
                </c:pt>
                <c:pt idx="46">
                  <c:v>4977887.4018869866</c:v>
                </c:pt>
                <c:pt idx="47">
                  <c:v>5475676.1420756858</c:v>
                </c:pt>
                <c:pt idx="48">
                  <c:v>6023243.7562832553</c:v>
                </c:pt>
                <c:pt idx="49">
                  <c:v>6625568.1319115814</c:v>
                </c:pt>
                <c:pt idx="50">
                  <c:v>7288124.9451027401</c:v>
                </c:pt>
                <c:pt idx="51">
                  <c:v>8016937.4396130145</c:v>
                </c:pt>
                <c:pt idx="52">
                  <c:v>8818631.183574317</c:v>
                </c:pt>
                <c:pt idx="53">
                  <c:v>9700494.30193175</c:v>
                </c:pt>
                <c:pt idx="54">
                  <c:v>10670543.732124927</c:v>
                </c:pt>
                <c:pt idx="55">
                  <c:v>11737598.10533742</c:v>
                </c:pt>
                <c:pt idx="56">
                  <c:v>12911357.915871164</c:v>
                </c:pt>
                <c:pt idx="57">
                  <c:v>14202493.707458282</c:v>
                </c:pt>
                <c:pt idx="58">
                  <c:v>15622743.078204112</c:v>
                </c:pt>
                <c:pt idx="59">
                  <c:v>17185017.386024524</c:v>
                </c:pt>
                <c:pt idx="60">
                  <c:v>18903519.124626979</c:v>
                </c:pt>
                <c:pt idx="61">
                  <c:v>20793871.037089679</c:v>
                </c:pt>
                <c:pt idx="62">
                  <c:v>22873258.140798651</c:v>
                </c:pt>
                <c:pt idx="63">
                  <c:v>25160583.954878516</c:v>
                </c:pt>
                <c:pt idx="64">
                  <c:v>27676642.350366369</c:v>
                </c:pt>
                <c:pt idx="65">
                  <c:v>30444306.585403007</c:v>
                </c:pt>
              </c:numCache>
            </c:numRef>
          </c:xVal>
          <c:yVal>
            <c:numRef>
              <c:f>Sheet1!$N$15:$N$239</c:f>
              <c:numCache>
                <c:formatCode>General</c:formatCode>
                <c:ptCount val="225"/>
                <c:pt idx="0">
                  <c:v>5.1873611111111133</c:v>
                </c:pt>
                <c:pt idx="1">
                  <c:v>4.2870752984389355</c:v>
                </c:pt>
                <c:pt idx="2">
                  <c:v>3.543037436726391</c:v>
                </c:pt>
                <c:pt idx="3">
                  <c:v>2.9281301129970188</c:v>
                </c:pt>
                <c:pt idx="4">
                  <c:v>2.4199422421462953</c:v>
                </c:pt>
                <c:pt idx="5">
                  <c:v>1.9999522662366089</c:v>
                </c:pt>
                <c:pt idx="6">
                  <c:v>1.6528531125922377</c:v>
                </c:pt>
                <c:pt idx="7">
                  <c:v>1.3659943079274701</c:v>
                </c:pt>
                <c:pt idx="8">
                  <c:v>1.1289209156425373</c:v>
                </c:pt>
                <c:pt idx="9">
                  <c:v>0.93299249226655812</c:v>
                </c:pt>
                <c:pt idx="10">
                  <c:v>0.7710681754269082</c:v>
                </c:pt>
                <c:pt idx="11">
                  <c:v>0.63724642597265124</c:v>
                </c:pt>
                <c:pt idx="12">
                  <c:v>0.52664993882037281</c:v>
                </c:pt>
                <c:pt idx="13">
                  <c:v>0.43524788332262176</c:v>
                </c:pt>
                <c:pt idx="14">
                  <c:v>0.35970899448150567</c:v>
                </c:pt>
                <c:pt idx="15">
                  <c:v>0.29728016072851737</c:v>
                </c:pt>
                <c:pt idx="16">
                  <c:v>0.24568608324670854</c:v>
                </c:pt>
                <c:pt idx="17">
                  <c:v>0.20304634979066807</c:v>
                </c:pt>
                <c:pt idx="18">
                  <c:v>0.16780690065344495</c:v>
                </c:pt>
                <c:pt idx="19">
                  <c:v>0.13868338896978866</c:v>
                </c:pt>
                <c:pt idx="20">
                  <c:v>0.11461437104941195</c:v>
                </c:pt>
                <c:pt idx="21">
                  <c:v>9.4722620701993651E-2</c:v>
                </c:pt>
                <c:pt idx="22">
                  <c:v>7.8283157604953246E-2</c:v>
                </c:pt>
                <c:pt idx="23">
                  <c:v>6.4696824466903446E-2</c:v>
                </c:pt>
                <c:pt idx="24">
                  <c:v>5.3468449972647832E-2</c:v>
                </c:pt>
                <c:pt idx="25">
                  <c:v>4.4188801630287461E-2</c:v>
                </c:pt>
                <c:pt idx="26">
                  <c:v>3.6519670768832328E-2</c:v>
                </c:pt>
                <c:pt idx="27">
                  <c:v>3.0181546089944031E-2</c:v>
                </c:pt>
                <c:pt idx="28">
                  <c:v>2.4943426520615136E-2</c:v>
                </c:pt>
                <c:pt idx="29">
                  <c:v>2.061440208315303E-2</c:v>
                </c:pt>
                <c:pt idx="30">
                  <c:v>1.591200000000003E-2</c:v>
                </c:pt>
                <c:pt idx="31">
                  <c:v>1.4465454545454573E-2</c:v>
                </c:pt>
                <c:pt idx="32">
                  <c:v>1.3150413223140516E-2</c:v>
                </c:pt>
                <c:pt idx="33">
                  <c:v>1.1954921111945925E-2</c:v>
                </c:pt>
                <c:pt idx="34">
                  <c:v>1.0868110101769022E-2</c:v>
                </c:pt>
                <c:pt idx="35">
                  <c:v>9.8801000925172917E-3</c:v>
                </c:pt>
                <c:pt idx="36">
                  <c:v>8.9819091750157169E-3</c:v>
                </c:pt>
                <c:pt idx="37">
                  <c:v>8.1653719772870163E-3</c:v>
                </c:pt>
                <c:pt idx="38">
                  <c:v>7.4230654338972865E-3</c:v>
                </c:pt>
                <c:pt idx="39">
                  <c:v>6.7482413035429862E-3</c:v>
                </c:pt>
                <c:pt idx="40">
                  <c:v>6.1347648214027141E-3</c:v>
                </c:pt>
                <c:pt idx="41">
                  <c:v>5.5770589285479219E-3</c:v>
                </c:pt>
                <c:pt idx="42">
                  <c:v>5.0700535714072008E-3</c:v>
                </c:pt>
                <c:pt idx="43">
                  <c:v>4.6091396103701832E-3</c:v>
                </c:pt>
                <c:pt idx="44">
                  <c:v>4.1901269185183479E-3</c:v>
                </c:pt>
                <c:pt idx="45">
                  <c:v>3.8092062895621341E-3</c:v>
                </c:pt>
                <c:pt idx="46">
                  <c:v>3.4629148086928489E-3</c:v>
                </c:pt>
                <c:pt idx="47">
                  <c:v>3.1481043715389529E-3</c:v>
                </c:pt>
                <c:pt idx="48">
                  <c:v>2.8619130650354117E-3</c:v>
                </c:pt>
                <c:pt idx="49">
                  <c:v>2.6017391500321924E-3</c:v>
                </c:pt>
                <c:pt idx="50">
                  <c:v>2.3652174091201746E-3</c:v>
                </c:pt>
                <c:pt idx="51">
                  <c:v>2.1501976446547037E-3</c:v>
                </c:pt>
                <c:pt idx="52">
                  <c:v>1.9547251315042758E-3</c:v>
                </c:pt>
                <c:pt idx="53">
                  <c:v>1.7770228468220687E-3</c:v>
                </c:pt>
                <c:pt idx="54">
                  <c:v>1.6154753152927898E-3</c:v>
                </c:pt>
                <c:pt idx="55">
                  <c:v>1.468613922993445E-3</c:v>
                </c:pt>
                <c:pt idx="56">
                  <c:v>1.3351035663576769E-3</c:v>
                </c:pt>
                <c:pt idx="57">
                  <c:v>1.2137305148706154E-3</c:v>
                </c:pt>
                <c:pt idx="58">
                  <c:v>1.1033913771551047E-3</c:v>
                </c:pt>
                <c:pt idx="59">
                  <c:v>1.0030830701410042E-3</c:v>
                </c:pt>
                <c:pt idx="60">
                  <c:v>9.1189370012818556E-4</c:v>
                </c:pt>
                <c:pt idx="61">
                  <c:v>8.2899427284380506E-4</c:v>
                </c:pt>
                <c:pt idx="62">
                  <c:v>7.5363115713073176E-4</c:v>
                </c:pt>
                <c:pt idx="63">
                  <c:v>6.8511923375521048E-4</c:v>
                </c:pt>
                <c:pt idx="64">
                  <c:v>6.2283566705019142E-4</c:v>
                </c:pt>
                <c:pt idx="65">
                  <c:v>5.6621424277290128E-4</c:v>
                </c:pt>
              </c:numCache>
            </c:numRef>
          </c:yVal>
          <c:smooth val="0"/>
        </c:ser>
        <c:ser>
          <c:idx val="1"/>
          <c:order val="3"/>
          <c:tx>
            <c:strRef>
              <c:f>Sheet1!$J$7</c:f>
              <c:strCache>
                <c:ptCount val="1"/>
                <c:pt idx="0">
                  <c:v>Square Market Price</c:v>
                </c:pt>
              </c:strCache>
            </c:strRef>
          </c:tx>
          <c:marker>
            <c:symbol val="diamond"/>
            <c:size val="5"/>
          </c:marker>
          <c:dLbls>
            <c:dLbl>
              <c:idx val="0"/>
              <c:layout>
                <c:manualLayout>
                  <c:x val="-1.1944404908429436E-2"/>
                  <c:y val="2.6086956521739129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1.5943115790503289E-2"/>
                  <c:y val="-1.449275362318840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.00" sourceLinked="0"/>
            <c:showLegendKey val="0"/>
            <c:showVal val="1"/>
            <c:showCatName val="1"/>
            <c:showSerName val="0"/>
            <c:showPercent val="0"/>
            <c:showBubbleSize val="0"/>
            <c:showLeaderLines val="0"/>
          </c:dLbls>
          <c:xVal>
            <c:numRef>
              <c:f>Sheet1!$B$8:$B$9</c:f>
              <c:numCache>
                <c:formatCode>#,##0</c:formatCode>
                <c:ptCount val="2"/>
                <c:pt idx="0">
                  <c:v>1083333.3333333323</c:v>
                </c:pt>
                <c:pt idx="1">
                  <c:v>1083333.3333333323</c:v>
                </c:pt>
              </c:numCache>
            </c:numRef>
          </c:xVal>
          <c:yVal>
            <c:numRef>
              <c:f>Sheet1!$J$8:$J$9</c:f>
              <c:numCache>
                <c:formatCode>General</c:formatCode>
                <c:ptCount val="2"/>
                <c:pt idx="0">
                  <c:v>0</c:v>
                </c:pt>
                <c:pt idx="1">
                  <c:v>5.1873611111111115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863488"/>
        <c:axId val="114874624"/>
      </c:scatterChart>
      <c:valAx>
        <c:axId val="114863488"/>
        <c:scaling>
          <c:orientation val="minMax"/>
          <c:max val="20000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Median</a:t>
                </a:r>
                <a:r>
                  <a:rPr lang="en-US" baseline="0"/>
                  <a:t> Block Size, MB</a:t>
                </a:r>
                <a:endParaRPr lang="en-US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114874624"/>
        <c:crosses val="autoZero"/>
        <c:crossBetween val="midCat"/>
        <c:majorUnit val="500000"/>
        <c:dispUnits>
          <c:builtInUnit val="millions"/>
        </c:dispUnits>
      </c:valAx>
      <c:valAx>
        <c:axId val="114874624"/>
        <c:scaling>
          <c:orientation val="minMax"/>
          <c:max val="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Single TX Price,</a:t>
                </a:r>
                <a:r>
                  <a:rPr lang="en-US" baseline="0"/>
                  <a:t> USD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5.1695914050141595E-2"/>
              <c:y val="0.5866171402487732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114863488"/>
        <c:crosses val="autoZero"/>
        <c:crossBetween val="midCat"/>
      </c:valAx>
    </c:plotArea>
    <c:legend>
      <c:legendPos val="l"/>
      <c:legendEntry>
        <c:idx val="3"/>
        <c:delete val="1"/>
      </c:legendEntry>
      <c:layout>
        <c:manualLayout>
          <c:xMode val="edge"/>
          <c:yMode val="edge"/>
          <c:x val="0.20799949650496793"/>
          <c:y val="0.21138993495378294"/>
          <c:w val="0.46449358043834127"/>
          <c:h val="0.12318110236220473"/>
        </c:manualLayout>
      </c:layout>
      <c:overlay val="1"/>
      <c:spPr>
        <a:solidFill>
          <a:schemeClr val="bg1"/>
        </a:solidFill>
        <a:ln>
          <a:solidFill>
            <a:schemeClr val="accent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Single TX Price</a:t>
            </a:r>
          </a:p>
          <a:p>
            <a:pPr>
              <a:defRPr/>
            </a:pPr>
            <a:r>
              <a:rPr lang="en-US" sz="1200"/>
              <a:t>(</a:t>
            </a:r>
            <a:r>
              <a:rPr lang="en-US" sz="1200" baseline="0"/>
              <a:t>current penalty, currently feasible min. fee)</a:t>
            </a:r>
            <a:endParaRPr lang="en-US" sz="1200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Sheet1!$G$14</c:f>
              <c:strCache>
                <c:ptCount val="1"/>
                <c:pt idx="0">
                  <c:v>Square Market Price</c:v>
                </c:pt>
              </c:strCache>
            </c:strRef>
          </c:tx>
          <c:marker>
            <c:symbol val="none"/>
          </c:marker>
          <c:xVal>
            <c:numRef>
              <c:f>Sheet1!$B$15:$B$239</c:f>
              <c:numCache>
                <c:formatCode>#,##0</c:formatCode>
                <c:ptCount val="225"/>
                <c:pt idx="0">
                  <c:v>60000</c:v>
                </c:pt>
                <c:pt idx="1">
                  <c:v>66000</c:v>
                </c:pt>
                <c:pt idx="2">
                  <c:v>72600</c:v>
                </c:pt>
                <c:pt idx="3">
                  <c:v>79860</c:v>
                </c:pt>
                <c:pt idx="4">
                  <c:v>87846</c:v>
                </c:pt>
                <c:pt idx="5">
                  <c:v>96630.6</c:v>
                </c:pt>
                <c:pt idx="6">
                  <c:v>106293.66000000002</c:v>
                </c:pt>
                <c:pt idx="7">
                  <c:v>116923.02600000003</c:v>
                </c:pt>
                <c:pt idx="8">
                  <c:v>128615.32860000004</c:v>
                </c:pt>
                <c:pt idx="9">
                  <c:v>141476.86146000004</c:v>
                </c:pt>
                <c:pt idx="10">
                  <c:v>155624.54760600007</c:v>
                </c:pt>
                <c:pt idx="11">
                  <c:v>171187.00236660009</c:v>
                </c:pt>
                <c:pt idx="12">
                  <c:v>188305.70260326011</c:v>
                </c:pt>
                <c:pt idx="13">
                  <c:v>207136.27286358614</c:v>
                </c:pt>
                <c:pt idx="14">
                  <c:v>227849.90014994476</c:v>
                </c:pt>
                <c:pt idx="15">
                  <c:v>250634.89016493925</c:v>
                </c:pt>
                <c:pt idx="16">
                  <c:v>275698.37918143318</c:v>
                </c:pt>
                <c:pt idx="17">
                  <c:v>303268.21709957655</c:v>
                </c:pt>
                <c:pt idx="18">
                  <c:v>333595.03880953422</c:v>
                </c:pt>
                <c:pt idx="19">
                  <c:v>366954.54269048769</c:v>
                </c:pt>
                <c:pt idx="20">
                  <c:v>403649.99695953651</c:v>
                </c:pt>
                <c:pt idx="21">
                  <c:v>444014.99665549019</c:v>
                </c:pt>
                <c:pt idx="22">
                  <c:v>488416.49632103927</c:v>
                </c:pt>
                <c:pt idx="23">
                  <c:v>537258.14595314325</c:v>
                </c:pt>
                <c:pt idx="24">
                  <c:v>590983.96054845757</c:v>
                </c:pt>
                <c:pt idx="25">
                  <c:v>650082.35660330334</c:v>
                </c:pt>
                <c:pt idx="26">
                  <c:v>715090.59226363373</c:v>
                </c:pt>
                <c:pt idx="27">
                  <c:v>786599.65148999717</c:v>
                </c:pt>
                <c:pt idx="28">
                  <c:v>865259.61663899699</c:v>
                </c:pt>
                <c:pt idx="29">
                  <c:v>951785.57830289681</c:v>
                </c:pt>
                <c:pt idx="30">
                  <c:v>1083333.3333333323</c:v>
                </c:pt>
                <c:pt idx="31">
                  <c:v>1191666.6666666656</c:v>
                </c:pt>
                <c:pt idx="32">
                  <c:v>1310833.3333333323</c:v>
                </c:pt>
                <c:pt idx="33">
                  <c:v>1441916.6666666656</c:v>
                </c:pt>
                <c:pt idx="34">
                  <c:v>1586108.3333333323</c:v>
                </c:pt>
                <c:pt idx="35">
                  <c:v>1744719.1666666658</c:v>
                </c:pt>
                <c:pt idx="36">
                  <c:v>1919191.0833333326</c:v>
                </c:pt>
                <c:pt idx="37">
                  <c:v>2111110.191666666</c:v>
                </c:pt>
                <c:pt idx="38">
                  <c:v>2322221.210833333</c:v>
                </c:pt>
                <c:pt idx="39">
                  <c:v>2554443.3319166666</c:v>
                </c:pt>
                <c:pt idx="40">
                  <c:v>2809887.6651083333</c:v>
                </c:pt>
                <c:pt idx="41">
                  <c:v>3090876.4316191669</c:v>
                </c:pt>
                <c:pt idx="42">
                  <c:v>3399964.074781084</c:v>
                </c:pt>
                <c:pt idx="43">
                  <c:v>3739960.4822591925</c:v>
                </c:pt>
                <c:pt idx="44">
                  <c:v>4113956.5304851122</c:v>
                </c:pt>
                <c:pt idx="45">
                  <c:v>4525352.1835336238</c:v>
                </c:pt>
                <c:pt idx="46">
                  <c:v>4977887.4018869866</c:v>
                </c:pt>
                <c:pt idx="47">
                  <c:v>5475676.1420756858</c:v>
                </c:pt>
                <c:pt idx="48">
                  <c:v>6023243.7562832553</c:v>
                </c:pt>
                <c:pt idx="49">
                  <c:v>6625568.1319115814</c:v>
                </c:pt>
                <c:pt idx="50">
                  <c:v>7288124.9451027401</c:v>
                </c:pt>
                <c:pt idx="51">
                  <c:v>8016937.4396130145</c:v>
                </c:pt>
                <c:pt idx="52">
                  <c:v>8818631.183574317</c:v>
                </c:pt>
                <c:pt idx="53">
                  <c:v>9700494.30193175</c:v>
                </c:pt>
                <c:pt idx="54">
                  <c:v>10670543.732124927</c:v>
                </c:pt>
                <c:pt idx="55">
                  <c:v>11737598.10533742</c:v>
                </c:pt>
                <c:pt idx="56">
                  <c:v>12911357.915871164</c:v>
                </c:pt>
                <c:pt idx="57">
                  <c:v>14202493.707458282</c:v>
                </c:pt>
                <c:pt idx="58">
                  <c:v>15622743.078204112</c:v>
                </c:pt>
                <c:pt idx="59">
                  <c:v>17185017.386024524</c:v>
                </c:pt>
                <c:pt idx="60">
                  <c:v>18903519.124626979</c:v>
                </c:pt>
                <c:pt idx="61">
                  <c:v>20793871.037089679</c:v>
                </c:pt>
                <c:pt idx="62">
                  <c:v>22873258.140798651</c:v>
                </c:pt>
                <c:pt idx="63">
                  <c:v>25160583.954878516</c:v>
                </c:pt>
                <c:pt idx="64">
                  <c:v>27676642.350366369</c:v>
                </c:pt>
                <c:pt idx="65">
                  <c:v>30444306.585403007</c:v>
                </c:pt>
              </c:numCache>
            </c:numRef>
          </c:xVal>
          <c:yVal>
            <c:numRef>
              <c:f>Sheet1!$G$15:$G$239</c:f>
              <c:numCache>
                <c:formatCode>0.00</c:formatCode>
                <c:ptCount val="225"/>
                <c:pt idx="0">
                  <c:v>1.5912000000000075E-2</c:v>
                </c:pt>
                <c:pt idx="1">
                  <c:v>1.9253520000000024E-2</c:v>
                </c:pt>
                <c:pt idx="2">
                  <c:v>2.3296759200000038E-2</c:v>
                </c:pt>
                <c:pt idx="3">
                  <c:v>2.8189078632000042E-2</c:v>
                </c:pt>
                <c:pt idx="4">
                  <c:v>3.4108785144720065E-2</c:v>
                </c:pt>
                <c:pt idx="5">
                  <c:v>4.1271630025111271E-2</c:v>
                </c:pt>
                <c:pt idx="6">
                  <c:v>4.993867233038464E-2</c:v>
                </c:pt>
                <c:pt idx="7">
                  <c:v>6.0425793519765382E-2</c:v>
                </c:pt>
                <c:pt idx="8">
                  <c:v>7.3115210158916116E-2</c:v>
                </c:pt>
                <c:pt idx="9">
                  <c:v>8.8469404292288653E-2</c:v>
                </c:pt>
                <c:pt idx="10">
                  <c:v>0.10704797919366925</c:v>
                </c:pt>
                <c:pt idx="11">
                  <c:v>0.12952805482433979</c:v>
                </c:pt>
                <c:pt idx="12">
                  <c:v>0.15672894633745116</c:v>
                </c:pt>
                <c:pt idx="13">
                  <c:v>0.18964202506831604</c:v>
                </c:pt>
                <c:pt idx="14">
                  <c:v>0.22946685033266226</c:v>
                </c:pt>
                <c:pt idx="15">
                  <c:v>0.27765488890252121</c:v>
                </c:pt>
                <c:pt idx="16">
                  <c:v>0.33596241557205059</c:v>
                </c:pt>
                <c:pt idx="17">
                  <c:v>0.40651452284218159</c:v>
                </c:pt>
                <c:pt idx="18">
                  <c:v>0.49188257263903906</c:v>
                </c:pt>
                <c:pt idx="19">
                  <c:v>0.59517791289323962</c:v>
                </c:pt>
                <c:pt idx="20">
                  <c:v>0.7201652746008208</c:v>
                </c:pt>
                <c:pt idx="21">
                  <c:v>0.87139998226699045</c:v>
                </c:pt>
                <c:pt idx="22">
                  <c:v>1.0543939785430612</c:v>
                </c:pt>
                <c:pt idx="23">
                  <c:v>1.2758167140371051</c:v>
                </c:pt>
                <c:pt idx="24">
                  <c:v>1.5437382239848871</c:v>
                </c:pt>
                <c:pt idx="25">
                  <c:v>1.8679232510217134</c:v>
                </c:pt>
                <c:pt idx="26">
                  <c:v>2.2601871337362911</c:v>
                </c:pt>
                <c:pt idx="27">
                  <c:v>2.7348264318209159</c:v>
                </c:pt>
                <c:pt idx="28">
                  <c:v>3.3091399825032766</c:v>
                </c:pt>
                <c:pt idx="29">
                  <c:v>4.0040593788289591</c:v>
                </c:pt>
                <c:pt idx="30">
                  <c:v>5.1873611111111115</c:v>
                </c:pt>
                <c:pt idx="31">
                  <c:v>5.7060972222222226</c:v>
                </c:pt>
                <c:pt idx="32">
                  <c:v>6.2767069444444434</c:v>
                </c:pt>
                <c:pt idx="33">
                  <c:v>6.9043776388888904</c:v>
                </c:pt>
                <c:pt idx="34">
                  <c:v>7.5948154027777797</c:v>
                </c:pt>
                <c:pt idx="35">
                  <c:v>8.3542969430555587</c:v>
                </c:pt>
                <c:pt idx="36">
                  <c:v>9.1897266373611153</c:v>
                </c:pt>
                <c:pt idx="37">
                  <c:v>10.108699301097227</c:v>
                </c:pt>
                <c:pt idx="38">
                  <c:v>11.119569231206953</c:v>
                </c:pt>
                <c:pt idx="39">
                  <c:v>12.231526154327652</c:v>
                </c:pt>
                <c:pt idx="40">
                  <c:v>13.454678769760415</c:v>
                </c:pt>
                <c:pt idx="41">
                  <c:v>14.800146646736456</c:v>
                </c:pt>
                <c:pt idx="42">
                  <c:v>16.280161311410104</c:v>
                </c:pt>
                <c:pt idx="43">
                  <c:v>17.908177442551118</c:v>
                </c:pt>
                <c:pt idx="44">
                  <c:v>19.698995186806226</c:v>
                </c:pt>
                <c:pt idx="45">
                  <c:v>21.668894705486853</c:v>
                </c:pt>
                <c:pt idx="46">
                  <c:v>23.835784176035549</c:v>
                </c:pt>
                <c:pt idx="47">
                  <c:v>26.219362593639097</c:v>
                </c:pt>
                <c:pt idx="48">
                  <c:v>28.841298853003011</c:v>
                </c:pt>
                <c:pt idx="49">
                  <c:v>31.725428738303318</c:v>
                </c:pt>
                <c:pt idx="50">
                  <c:v>34.897971612133652</c:v>
                </c:pt>
                <c:pt idx="51">
                  <c:v>38.387768773347013</c:v>
                </c:pt>
                <c:pt idx="52">
                  <c:v>42.226545650681722</c:v>
                </c:pt>
                <c:pt idx="53">
                  <c:v>46.449200215749904</c:v>
                </c:pt>
                <c:pt idx="54">
                  <c:v>51.094120237324915</c:v>
                </c:pt>
                <c:pt idx="55">
                  <c:v>56.203532261057411</c:v>
                </c:pt>
                <c:pt idx="56">
                  <c:v>61.823885487163139</c:v>
                </c:pt>
                <c:pt idx="57">
                  <c:v>68.006274035879471</c:v>
                </c:pt>
                <c:pt idx="58">
                  <c:v>74.80690143946741</c:v>
                </c:pt>
                <c:pt idx="59">
                  <c:v>82.287591583414184</c:v>
                </c:pt>
                <c:pt idx="60">
                  <c:v>90.516350741755602</c:v>
                </c:pt>
                <c:pt idx="61">
                  <c:v>99.567985815931195</c:v>
                </c:pt>
                <c:pt idx="62">
                  <c:v>109.5247843975243</c:v>
                </c:pt>
                <c:pt idx="63">
                  <c:v>120.47726283727673</c:v>
                </c:pt>
                <c:pt idx="64">
                  <c:v>132.52498912100441</c:v>
                </c:pt>
                <c:pt idx="65">
                  <c:v>145.77748803310485</c:v>
                </c:pt>
              </c:numCache>
            </c:numRef>
          </c:yVal>
          <c:smooth val="0"/>
        </c:ser>
        <c:ser>
          <c:idx val="3"/>
          <c:order val="1"/>
          <c:tx>
            <c:strRef>
              <c:f>Sheet1!$F$14</c:f>
              <c:strCache>
                <c:ptCount val="1"/>
                <c:pt idx="0">
                  <c:v>Linear Market Price</c:v>
                </c:pt>
              </c:strCache>
            </c:strRef>
          </c:tx>
          <c:marker>
            <c:symbol val="none"/>
          </c:marker>
          <c:xVal>
            <c:numRef>
              <c:f>Sheet1!$B$15:$B$239</c:f>
              <c:numCache>
                <c:formatCode>#,##0</c:formatCode>
                <c:ptCount val="225"/>
                <c:pt idx="0">
                  <c:v>60000</c:v>
                </c:pt>
                <c:pt idx="1">
                  <c:v>66000</c:v>
                </c:pt>
                <c:pt idx="2">
                  <c:v>72600</c:v>
                </c:pt>
                <c:pt idx="3">
                  <c:v>79860</c:v>
                </c:pt>
                <c:pt idx="4">
                  <c:v>87846</c:v>
                </c:pt>
                <c:pt idx="5">
                  <c:v>96630.6</c:v>
                </c:pt>
                <c:pt idx="6">
                  <c:v>106293.66000000002</c:v>
                </c:pt>
                <c:pt idx="7">
                  <c:v>116923.02600000003</c:v>
                </c:pt>
                <c:pt idx="8">
                  <c:v>128615.32860000004</c:v>
                </c:pt>
                <c:pt idx="9">
                  <c:v>141476.86146000004</c:v>
                </c:pt>
                <c:pt idx="10">
                  <c:v>155624.54760600007</c:v>
                </c:pt>
                <c:pt idx="11">
                  <c:v>171187.00236660009</c:v>
                </c:pt>
                <c:pt idx="12">
                  <c:v>188305.70260326011</c:v>
                </c:pt>
                <c:pt idx="13">
                  <c:v>207136.27286358614</c:v>
                </c:pt>
                <c:pt idx="14">
                  <c:v>227849.90014994476</c:v>
                </c:pt>
                <c:pt idx="15">
                  <c:v>250634.89016493925</c:v>
                </c:pt>
                <c:pt idx="16">
                  <c:v>275698.37918143318</c:v>
                </c:pt>
                <c:pt idx="17">
                  <c:v>303268.21709957655</c:v>
                </c:pt>
                <c:pt idx="18">
                  <c:v>333595.03880953422</c:v>
                </c:pt>
                <c:pt idx="19">
                  <c:v>366954.54269048769</c:v>
                </c:pt>
                <c:pt idx="20">
                  <c:v>403649.99695953651</c:v>
                </c:pt>
                <c:pt idx="21">
                  <c:v>444014.99665549019</c:v>
                </c:pt>
                <c:pt idx="22">
                  <c:v>488416.49632103927</c:v>
                </c:pt>
                <c:pt idx="23">
                  <c:v>537258.14595314325</c:v>
                </c:pt>
                <c:pt idx="24">
                  <c:v>590983.96054845757</c:v>
                </c:pt>
                <c:pt idx="25">
                  <c:v>650082.35660330334</c:v>
                </c:pt>
                <c:pt idx="26">
                  <c:v>715090.59226363373</c:v>
                </c:pt>
                <c:pt idx="27">
                  <c:v>786599.65148999717</c:v>
                </c:pt>
                <c:pt idx="28">
                  <c:v>865259.61663899699</c:v>
                </c:pt>
                <c:pt idx="29">
                  <c:v>951785.57830289681</c:v>
                </c:pt>
                <c:pt idx="30">
                  <c:v>1083333.3333333323</c:v>
                </c:pt>
                <c:pt idx="31">
                  <c:v>1191666.6666666656</c:v>
                </c:pt>
                <c:pt idx="32">
                  <c:v>1310833.3333333323</c:v>
                </c:pt>
                <c:pt idx="33">
                  <c:v>1441916.6666666656</c:v>
                </c:pt>
                <c:pt idx="34">
                  <c:v>1586108.3333333323</c:v>
                </c:pt>
                <c:pt idx="35">
                  <c:v>1744719.1666666658</c:v>
                </c:pt>
                <c:pt idx="36">
                  <c:v>1919191.0833333326</c:v>
                </c:pt>
                <c:pt idx="37">
                  <c:v>2111110.191666666</c:v>
                </c:pt>
                <c:pt idx="38">
                  <c:v>2322221.210833333</c:v>
                </c:pt>
                <c:pt idx="39">
                  <c:v>2554443.3319166666</c:v>
                </c:pt>
                <c:pt idx="40">
                  <c:v>2809887.6651083333</c:v>
                </c:pt>
                <c:pt idx="41">
                  <c:v>3090876.4316191669</c:v>
                </c:pt>
                <c:pt idx="42">
                  <c:v>3399964.074781084</c:v>
                </c:pt>
                <c:pt idx="43">
                  <c:v>3739960.4822591925</c:v>
                </c:pt>
                <c:pt idx="44">
                  <c:v>4113956.5304851122</c:v>
                </c:pt>
                <c:pt idx="45">
                  <c:v>4525352.1835336238</c:v>
                </c:pt>
                <c:pt idx="46">
                  <c:v>4977887.4018869866</c:v>
                </c:pt>
                <c:pt idx="47">
                  <c:v>5475676.1420756858</c:v>
                </c:pt>
                <c:pt idx="48">
                  <c:v>6023243.7562832553</c:v>
                </c:pt>
                <c:pt idx="49">
                  <c:v>6625568.1319115814</c:v>
                </c:pt>
                <c:pt idx="50">
                  <c:v>7288124.9451027401</c:v>
                </c:pt>
                <c:pt idx="51">
                  <c:v>8016937.4396130145</c:v>
                </c:pt>
                <c:pt idx="52">
                  <c:v>8818631.183574317</c:v>
                </c:pt>
                <c:pt idx="53">
                  <c:v>9700494.30193175</c:v>
                </c:pt>
                <c:pt idx="54">
                  <c:v>10670543.732124927</c:v>
                </c:pt>
                <c:pt idx="55">
                  <c:v>11737598.10533742</c:v>
                </c:pt>
                <c:pt idx="56">
                  <c:v>12911357.915871164</c:v>
                </c:pt>
                <c:pt idx="57">
                  <c:v>14202493.707458282</c:v>
                </c:pt>
                <c:pt idx="58">
                  <c:v>15622743.078204112</c:v>
                </c:pt>
                <c:pt idx="59">
                  <c:v>17185017.386024524</c:v>
                </c:pt>
                <c:pt idx="60">
                  <c:v>18903519.124626979</c:v>
                </c:pt>
                <c:pt idx="61">
                  <c:v>20793871.037089679</c:v>
                </c:pt>
                <c:pt idx="62">
                  <c:v>22873258.140798651</c:v>
                </c:pt>
                <c:pt idx="63">
                  <c:v>25160583.954878516</c:v>
                </c:pt>
                <c:pt idx="64">
                  <c:v>27676642.350366369</c:v>
                </c:pt>
                <c:pt idx="65">
                  <c:v>30444306.585403007</c:v>
                </c:pt>
              </c:numCache>
            </c:numRef>
          </c:xVal>
          <c:yVal>
            <c:numRef>
              <c:f>Sheet1!$F$15:$F$239</c:f>
              <c:numCache>
                <c:formatCode>0.00</c:formatCode>
                <c:ptCount val="225"/>
                <c:pt idx="0">
                  <c:v>1.5912000000000075E-2</c:v>
                </c:pt>
                <c:pt idx="1">
                  <c:v>1.7503200000000021E-2</c:v>
                </c:pt>
                <c:pt idx="2">
                  <c:v>1.9253520000000031E-2</c:v>
                </c:pt>
                <c:pt idx="3">
                  <c:v>2.1178872000000033E-2</c:v>
                </c:pt>
                <c:pt idx="4">
                  <c:v>2.3296759200000048E-2</c:v>
                </c:pt>
                <c:pt idx="5">
                  <c:v>2.5626435120000037E-2</c:v>
                </c:pt>
                <c:pt idx="6">
                  <c:v>2.8189078632000045E-2</c:v>
                </c:pt>
                <c:pt idx="7">
                  <c:v>3.1007986495200032E-2</c:v>
                </c:pt>
                <c:pt idx="8">
                  <c:v>3.410878514472003E-2</c:v>
                </c:pt>
                <c:pt idx="9">
                  <c:v>3.7519663659192105E-2</c:v>
                </c:pt>
                <c:pt idx="10">
                  <c:v>4.1271630025111299E-2</c:v>
                </c:pt>
                <c:pt idx="11">
                  <c:v>4.5398793027622425E-2</c:v>
                </c:pt>
                <c:pt idx="12">
                  <c:v>4.9938672330384667E-2</c:v>
                </c:pt>
                <c:pt idx="13">
                  <c:v>5.4932539563423165E-2</c:v>
                </c:pt>
                <c:pt idx="14">
                  <c:v>6.0425793519765444E-2</c:v>
                </c:pt>
                <c:pt idx="15">
                  <c:v>6.646837287174194E-2</c:v>
                </c:pt>
                <c:pt idx="16">
                  <c:v>7.3115210158916144E-2</c:v>
                </c:pt>
                <c:pt idx="17">
                  <c:v>8.0426731174807822E-2</c:v>
                </c:pt>
                <c:pt idx="18">
                  <c:v>8.8469404292288473E-2</c:v>
                </c:pt>
                <c:pt idx="19">
                  <c:v>9.7316344721517678E-2</c:v>
                </c:pt>
                <c:pt idx="20">
                  <c:v>0.10704797919366957</c:v>
                </c:pt>
                <c:pt idx="21">
                  <c:v>0.11775277711303615</c:v>
                </c:pt>
                <c:pt idx="22">
                  <c:v>0.12952805482434007</c:v>
                </c:pt>
                <c:pt idx="23">
                  <c:v>0.1424808603067742</c:v>
                </c:pt>
                <c:pt idx="24">
                  <c:v>0.1567289463374506</c:v>
                </c:pt>
                <c:pt idx="25">
                  <c:v>0.17240184097119565</c:v>
                </c:pt>
                <c:pt idx="26">
                  <c:v>0.18964202506831671</c:v>
                </c:pt>
                <c:pt idx="27">
                  <c:v>0.2086062275751486</c:v>
                </c:pt>
                <c:pt idx="28">
                  <c:v>0.22946685033266132</c:v>
                </c:pt>
                <c:pt idx="29">
                  <c:v>0.25241353536592703</c:v>
                </c:pt>
                <c:pt idx="30">
                  <c:v>0.28730000000000022</c:v>
                </c:pt>
                <c:pt idx="31">
                  <c:v>0.28730000000000028</c:v>
                </c:pt>
                <c:pt idx="32">
                  <c:v>0.28730000000000022</c:v>
                </c:pt>
                <c:pt idx="33">
                  <c:v>0.28730000000000022</c:v>
                </c:pt>
                <c:pt idx="34">
                  <c:v>0.28730000000000028</c:v>
                </c:pt>
                <c:pt idx="35">
                  <c:v>0.28730000000000022</c:v>
                </c:pt>
                <c:pt idx="36">
                  <c:v>0.28730000000000022</c:v>
                </c:pt>
                <c:pt idx="37">
                  <c:v>0.28730000000000028</c:v>
                </c:pt>
                <c:pt idx="38">
                  <c:v>0.28730000000000028</c:v>
                </c:pt>
                <c:pt idx="39">
                  <c:v>0.28730000000000028</c:v>
                </c:pt>
                <c:pt idx="40">
                  <c:v>0.28730000000000022</c:v>
                </c:pt>
                <c:pt idx="41">
                  <c:v>0.28730000000000022</c:v>
                </c:pt>
                <c:pt idx="42">
                  <c:v>0.28730000000000022</c:v>
                </c:pt>
                <c:pt idx="43">
                  <c:v>0.28730000000000028</c:v>
                </c:pt>
                <c:pt idx="44">
                  <c:v>0.28730000000000028</c:v>
                </c:pt>
                <c:pt idx="45">
                  <c:v>0.28730000000000028</c:v>
                </c:pt>
                <c:pt idx="46">
                  <c:v>0.28730000000000028</c:v>
                </c:pt>
                <c:pt idx="47">
                  <c:v>0.28730000000000022</c:v>
                </c:pt>
                <c:pt idx="48">
                  <c:v>0.28730000000000028</c:v>
                </c:pt>
                <c:pt idx="49">
                  <c:v>0.28730000000000028</c:v>
                </c:pt>
                <c:pt idx="50">
                  <c:v>0.28730000000000028</c:v>
                </c:pt>
                <c:pt idx="51">
                  <c:v>0.28730000000000028</c:v>
                </c:pt>
                <c:pt idx="52">
                  <c:v>0.28730000000000022</c:v>
                </c:pt>
                <c:pt idx="53">
                  <c:v>0.28730000000000022</c:v>
                </c:pt>
                <c:pt idx="54">
                  <c:v>0.28730000000000033</c:v>
                </c:pt>
                <c:pt idx="55">
                  <c:v>0.28730000000000028</c:v>
                </c:pt>
                <c:pt idx="56">
                  <c:v>0.28730000000000022</c:v>
                </c:pt>
                <c:pt idx="57">
                  <c:v>0.28730000000000028</c:v>
                </c:pt>
                <c:pt idx="58">
                  <c:v>0.28730000000000022</c:v>
                </c:pt>
                <c:pt idx="59">
                  <c:v>0.28730000000000028</c:v>
                </c:pt>
                <c:pt idx="60">
                  <c:v>0.28730000000000028</c:v>
                </c:pt>
                <c:pt idx="61">
                  <c:v>0.28730000000000028</c:v>
                </c:pt>
                <c:pt idx="62">
                  <c:v>0.28730000000000028</c:v>
                </c:pt>
                <c:pt idx="63">
                  <c:v>0.28730000000000022</c:v>
                </c:pt>
                <c:pt idx="64">
                  <c:v>0.28730000000000028</c:v>
                </c:pt>
                <c:pt idx="65">
                  <c:v>0.28730000000000022</c:v>
                </c:pt>
              </c:numCache>
            </c:numRef>
          </c:yVal>
          <c:smooth val="0"/>
        </c:ser>
        <c:ser>
          <c:idx val="0"/>
          <c:order val="2"/>
          <c:tx>
            <c:strRef>
              <c:f>Sheet1!$H$14</c:f>
              <c:strCache>
                <c:ptCount val="1"/>
                <c:pt idx="0">
                  <c:v>Flat Market Price</c:v>
                </c:pt>
              </c:strCache>
            </c:strRef>
          </c:tx>
          <c:marker>
            <c:symbol val="none"/>
          </c:marker>
          <c:dPt>
            <c:idx val="0"/>
            <c:marker>
              <c:symbol val="auto"/>
            </c:marker>
            <c:bubble3D val="0"/>
          </c:dPt>
          <c:dLbls>
            <c:dLbl>
              <c:idx val="0"/>
              <c:layout>
                <c:manualLayout>
                  <c:x val="-0.18690061233512731"/>
                  <c:y val="-1.159420289855072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.00" sourceLinked="0"/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Sheet1!$B$15:$B$239</c:f>
              <c:numCache>
                <c:formatCode>#,##0</c:formatCode>
                <c:ptCount val="225"/>
                <c:pt idx="0">
                  <c:v>60000</c:v>
                </c:pt>
                <c:pt idx="1">
                  <c:v>66000</c:v>
                </c:pt>
                <c:pt idx="2">
                  <c:v>72600</c:v>
                </c:pt>
                <c:pt idx="3">
                  <c:v>79860</c:v>
                </c:pt>
                <c:pt idx="4">
                  <c:v>87846</c:v>
                </c:pt>
                <c:pt idx="5">
                  <c:v>96630.6</c:v>
                </c:pt>
                <c:pt idx="6">
                  <c:v>106293.66000000002</c:v>
                </c:pt>
                <c:pt idx="7">
                  <c:v>116923.02600000003</c:v>
                </c:pt>
                <c:pt idx="8">
                  <c:v>128615.32860000004</c:v>
                </c:pt>
                <c:pt idx="9">
                  <c:v>141476.86146000004</c:v>
                </c:pt>
                <c:pt idx="10">
                  <c:v>155624.54760600007</c:v>
                </c:pt>
                <c:pt idx="11">
                  <c:v>171187.00236660009</c:v>
                </c:pt>
                <c:pt idx="12">
                  <c:v>188305.70260326011</c:v>
                </c:pt>
                <c:pt idx="13">
                  <c:v>207136.27286358614</c:v>
                </c:pt>
                <c:pt idx="14">
                  <c:v>227849.90014994476</c:v>
                </c:pt>
                <c:pt idx="15">
                  <c:v>250634.89016493925</c:v>
                </c:pt>
                <c:pt idx="16">
                  <c:v>275698.37918143318</c:v>
                </c:pt>
                <c:pt idx="17">
                  <c:v>303268.21709957655</c:v>
                </c:pt>
                <c:pt idx="18">
                  <c:v>333595.03880953422</c:v>
                </c:pt>
                <c:pt idx="19">
                  <c:v>366954.54269048769</c:v>
                </c:pt>
                <c:pt idx="20">
                  <c:v>403649.99695953651</c:v>
                </c:pt>
                <c:pt idx="21">
                  <c:v>444014.99665549019</c:v>
                </c:pt>
                <c:pt idx="22">
                  <c:v>488416.49632103927</c:v>
                </c:pt>
                <c:pt idx="23">
                  <c:v>537258.14595314325</c:v>
                </c:pt>
                <c:pt idx="24">
                  <c:v>590983.96054845757</c:v>
                </c:pt>
                <c:pt idx="25">
                  <c:v>650082.35660330334</c:v>
                </c:pt>
                <c:pt idx="26">
                  <c:v>715090.59226363373</c:v>
                </c:pt>
                <c:pt idx="27">
                  <c:v>786599.65148999717</c:v>
                </c:pt>
                <c:pt idx="28">
                  <c:v>865259.61663899699</c:v>
                </c:pt>
                <c:pt idx="29">
                  <c:v>951785.57830289681</c:v>
                </c:pt>
                <c:pt idx="30">
                  <c:v>1083333.3333333323</c:v>
                </c:pt>
                <c:pt idx="31">
                  <c:v>1191666.6666666656</c:v>
                </c:pt>
                <c:pt idx="32">
                  <c:v>1310833.3333333323</c:v>
                </c:pt>
                <c:pt idx="33">
                  <c:v>1441916.6666666656</c:v>
                </c:pt>
                <c:pt idx="34">
                  <c:v>1586108.3333333323</c:v>
                </c:pt>
                <c:pt idx="35">
                  <c:v>1744719.1666666658</c:v>
                </c:pt>
                <c:pt idx="36">
                  <c:v>1919191.0833333326</c:v>
                </c:pt>
                <c:pt idx="37">
                  <c:v>2111110.191666666</c:v>
                </c:pt>
                <c:pt idx="38">
                  <c:v>2322221.210833333</c:v>
                </c:pt>
                <c:pt idx="39">
                  <c:v>2554443.3319166666</c:v>
                </c:pt>
                <c:pt idx="40">
                  <c:v>2809887.6651083333</c:v>
                </c:pt>
                <c:pt idx="41">
                  <c:v>3090876.4316191669</c:v>
                </c:pt>
                <c:pt idx="42">
                  <c:v>3399964.074781084</c:v>
                </c:pt>
                <c:pt idx="43">
                  <c:v>3739960.4822591925</c:v>
                </c:pt>
                <c:pt idx="44">
                  <c:v>4113956.5304851122</c:v>
                </c:pt>
                <c:pt idx="45">
                  <c:v>4525352.1835336238</c:v>
                </c:pt>
                <c:pt idx="46">
                  <c:v>4977887.4018869866</c:v>
                </c:pt>
                <c:pt idx="47">
                  <c:v>5475676.1420756858</c:v>
                </c:pt>
                <c:pt idx="48">
                  <c:v>6023243.7562832553</c:v>
                </c:pt>
                <c:pt idx="49">
                  <c:v>6625568.1319115814</c:v>
                </c:pt>
                <c:pt idx="50">
                  <c:v>7288124.9451027401</c:v>
                </c:pt>
                <c:pt idx="51">
                  <c:v>8016937.4396130145</c:v>
                </c:pt>
                <c:pt idx="52">
                  <c:v>8818631.183574317</c:v>
                </c:pt>
                <c:pt idx="53">
                  <c:v>9700494.30193175</c:v>
                </c:pt>
                <c:pt idx="54">
                  <c:v>10670543.732124927</c:v>
                </c:pt>
                <c:pt idx="55">
                  <c:v>11737598.10533742</c:v>
                </c:pt>
                <c:pt idx="56">
                  <c:v>12911357.915871164</c:v>
                </c:pt>
                <c:pt idx="57">
                  <c:v>14202493.707458282</c:v>
                </c:pt>
                <c:pt idx="58">
                  <c:v>15622743.078204112</c:v>
                </c:pt>
                <c:pt idx="59">
                  <c:v>17185017.386024524</c:v>
                </c:pt>
                <c:pt idx="60">
                  <c:v>18903519.124626979</c:v>
                </c:pt>
                <c:pt idx="61">
                  <c:v>20793871.037089679</c:v>
                </c:pt>
                <c:pt idx="62">
                  <c:v>22873258.140798651</c:v>
                </c:pt>
                <c:pt idx="63">
                  <c:v>25160583.954878516</c:v>
                </c:pt>
                <c:pt idx="64">
                  <c:v>27676642.350366369</c:v>
                </c:pt>
                <c:pt idx="65">
                  <c:v>30444306.585403007</c:v>
                </c:pt>
              </c:numCache>
            </c:numRef>
          </c:xVal>
          <c:yVal>
            <c:numRef>
              <c:f>Sheet1!$H$15:$H$239</c:f>
              <c:numCache>
                <c:formatCode>0.00</c:formatCode>
                <c:ptCount val="225"/>
                <c:pt idx="0">
                  <c:v>1.5912000000000075E-2</c:v>
                </c:pt>
                <c:pt idx="1">
                  <c:v>1.5912000000000016E-2</c:v>
                </c:pt>
                <c:pt idx="2">
                  <c:v>1.5912000000000027E-2</c:v>
                </c:pt>
                <c:pt idx="3">
                  <c:v>1.5912000000000023E-2</c:v>
                </c:pt>
                <c:pt idx="4">
                  <c:v>1.591200000000003E-2</c:v>
                </c:pt>
                <c:pt idx="5">
                  <c:v>1.5912000000000023E-2</c:v>
                </c:pt>
                <c:pt idx="6">
                  <c:v>1.5912000000000023E-2</c:v>
                </c:pt>
                <c:pt idx="7">
                  <c:v>1.5912000000000013E-2</c:v>
                </c:pt>
                <c:pt idx="8">
                  <c:v>1.5912000000000009E-2</c:v>
                </c:pt>
                <c:pt idx="9">
                  <c:v>1.5912000000000041E-2</c:v>
                </c:pt>
                <c:pt idx="10">
                  <c:v>1.591200000000003E-2</c:v>
                </c:pt>
                <c:pt idx="11">
                  <c:v>1.5912000000000027E-2</c:v>
                </c:pt>
                <c:pt idx="12">
                  <c:v>1.591200000000003E-2</c:v>
                </c:pt>
                <c:pt idx="13">
                  <c:v>1.5912000000000034E-2</c:v>
                </c:pt>
                <c:pt idx="14">
                  <c:v>1.5912000000000027E-2</c:v>
                </c:pt>
                <c:pt idx="15">
                  <c:v>1.5912000000000013E-2</c:v>
                </c:pt>
                <c:pt idx="16">
                  <c:v>1.5912000000000016E-2</c:v>
                </c:pt>
                <c:pt idx="17">
                  <c:v>1.5912000000000023E-2</c:v>
                </c:pt>
                <c:pt idx="18">
                  <c:v>1.5911999999999999E-2</c:v>
                </c:pt>
                <c:pt idx="19">
                  <c:v>1.5912000000000058E-2</c:v>
                </c:pt>
                <c:pt idx="20">
                  <c:v>1.5912000000000075E-2</c:v>
                </c:pt>
                <c:pt idx="21">
                  <c:v>1.591200000000002E-2</c:v>
                </c:pt>
                <c:pt idx="22">
                  <c:v>1.5912000000000058E-2</c:v>
                </c:pt>
                <c:pt idx="23">
                  <c:v>1.5912000000000068E-2</c:v>
                </c:pt>
                <c:pt idx="24">
                  <c:v>1.5911999999999964E-2</c:v>
                </c:pt>
                <c:pt idx="25">
                  <c:v>1.5911999999999964E-2</c:v>
                </c:pt>
                <c:pt idx="26">
                  <c:v>1.5912000000000089E-2</c:v>
                </c:pt>
                <c:pt idx="27">
                  <c:v>1.5912000000000107E-2</c:v>
                </c:pt>
                <c:pt idx="28">
                  <c:v>1.5911999999999954E-2</c:v>
                </c:pt>
                <c:pt idx="29">
                  <c:v>1.5911999999999926E-2</c:v>
                </c:pt>
                <c:pt idx="30">
                  <c:v>1.591200000000003E-2</c:v>
                </c:pt>
                <c:pt idx="31">
                  <c:v>1.4465454545454573E-2</c:v>
                </c:pt>
                <c:pt idx="32">
                  <c:v>1.3150413223140516E-2</c:v>
                </c:pt>
                <c:pt idx="33">
                  <c:v>1.1954921111945925E-2</c:v>
                </c:pt>
                <c:pt idx="34">
                  <c:v>1.0868110101769022E-2</c:v>
                </c:pt>
                <c:pt idx="35">
                  <c:v>9.8801000925172917E-3</c:v>
                </c:pt>
                <c:pt idx="36">
                  <c:v>8.9819091750157169E-3</c:v>
                </c:pt>
                <c:pt idx="37">
                  <c:v>8.1653719772870163E-3</c:v>
                </c:pt>
                <c:pt idx="38">
                  <c:v>7.4230654338972865E-3</c:v>
                </c:pt>
                <c:pt idx="39">
                  <c:v>6.7482413035429862E-3</c:v>
                </c:pt>
                <c:pt idx="40">
                  <c:v>6.1347648214027141E-3</c:v>
                </c:pt>
                <c:pt idx="41">
                  <c:v>5.5770589285479219E-3</c:v>
                </c:pt>
                <c:pt idx="42">
                  <c:v>5.0700535714072008E-3</c:v>
                </c:pt>
                <c:pt idx="43">
                  <c:v>4.6091396103701832E-3</c:v>
                </c:pt>
                <c:pt idx="44">
                  <c:v>4.1901269185183479E-3</c:v>
                </c:pt>
                <c:pt idx="45">
                  <c:v>3.8092062895621341E-3</c:v>
                </c:pt>
                <c:pt idx="46">
                  <c:v>3.4629148086928489E-3</c:v>
                </c:pt>
                <c:pt idx="47">
                  <c:v>3.1481043715389529E-3</c:v>
                </c:pt>
                <c:pt idx="48">
                  <c:v>2.8619130650354117E-3</c:v>
                </c:pt>
                <c:pt idx="49">
                  <c:v>2.6017391500321924E-3</c:v>
                </c:pt>
                <c:pt idx="50">
                  <c:v>2.3652174091201746E-3</c:v>
                </c:pt>
                <c:pt idx="51">
                  <c:v>2.1501976446547037E-3</c:v>
                </c:pt>
                <c:pt idx="52">
                  <c:v>1.9547251315042758E-3</c:v>
                </c:pt>
                <c:pt idx="53">
                  <c:v>1.7770228468220687E-3</c:v>
                </c:pt>
                <c:pt idx="54">
                  <c:v>1.6154753152927898E-3</c:v>
                </c:pt>
                <c:pt idx="55">
                  <c:v>1.468613922993445E-3</c:v>
                </c:pt>
                <c:pt idx="56">
                  <c:v>1.3351035663576769E-3</c:v>
                </c:pt>
                <c:pt idx="57">
                  <c:v>1.2137305148706154E-3</c:v>
                </c:pt>
                <c:pt idx="58">
                  <c:v>1.1033913771551047E-3</c:v>
                </c:pt>
                <c:pt idx="59">
                  <c:v>1.0030830701410042E-3</c:v>
                </c:pt>
                <c:pt idx="60">
                  <c:v>9.1189370012818556E-4</c:v>
                </c:pt>
                <c:pt idx="61">
                  <c:v>8.2899427284380506E-4</c:v>
                </c:pt>
                <c:pt idx="62">
                  <c:v>7.5363115713073176E-4</c:v>
                </c:pt>
                <c:pt idx="63">
                  <c:v>6.8511923375521048E-4</c:v>
                </c:pt>
                <c:pt idx="64">
                  <c:v>6.2283566705019142E-4</c:v>
                </c:pt>
                <c:pt idx="65">
                  <c:v>5.6621424277290128E-4</c:v>
                </c:pt>
              </c:numCache>
            </c:numRef>
          </c:yVal>
          <c:smooth val="0"/>
        </c:ser>
        <c:ser>
          <c:idx val="1"/>
          <c:order val="3"/>
          <c:tx>
            <c:strRef>
              <c:f>Sheet1!$J$7</c:f>
              <c:strCache>
                <c:ptCount val="1"/>
                <c:pt idx="0">
                  <c:v>Square Market Price</c:v>
                </c:pt>
              </c:strCache>
            </c:strRef>
          </c:tx>
          <c:marker>
            <c:symbol val="diamond"/>
            <c:size val="5"/>
          </c:marker>
          <c:dLbls>
            <c:dLbl>
              <c:idx val="0"/>
              <c:layout>
                <c:manualLayout>
                  <c:x val="-1.1944404908429436E-2"/>
                  <c:y val="2.6086956521739129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1.5943115790503289E-2"/>
                  <c:y val="-1.449275362318840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.00" sourceLinked="0"/>
            <c:showLegendKey val="0"/>
            <c:showVal val="1"/>
            <c:showCatName val="1"/>
            <c:showSerName val="0"/>
            <c:showPercent val="0"/>
            <c:showBubbleSize val="0"/>
            <c:showLeaderLines val="0"/>
          </c:dLbls>
          <c:xVal>
            <c:numRef>
              <c:f>Sheet1!$B$8:$B$9</c:f>
              <c:numCache>
                <c:formatCode>#,##0</c:formatCode>
                <c:ptCount val="2"/>
                <c:pt idx="0">
                  <c:v>1083333.3333333323</c:v>
                </c:pt>
                <c:pt idx="1">
                  <c:v>1083333.3333333323</c:v>
                </c:pt>
              </c:numCache>
            </c:numRef>
          </c:xVal>
          <c:yVal>
            <c:numRef>
              <c:f>Sheet1!$J$8:$J$9</c:f>
              <c:numCache>
                <c:formatCode>General</c:formatCode>
                <c:ptCount val="2"/>
                <c:pt idx="0">
                  <c:v>0</c:v>
                </c:pt>
                <c:pt idx="1">
                  <c:v>5.1873611111111115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780416"/>
        <c:axId val="110782720"/>
      </c:scatterChart>
      <c:valAx>
        <c:axId val="110780416"/>
        <c:scaling>
          <c:orientation val="minMax"/>
          <c:max val="20000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Median</a:t>
                </a:r>
                <a:r>
                  <a:rPr lang="en-US" baseline="0"/>
                  <a:t> Block Size, MB</a:t>
                </a:r>
                <a:endParaRPr lang="en-US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110782720"/>
        <c:crosses val="autoZero"/>
        <c:crossBetween val="midCat"/>
        <c:majorUnit val="500000"/>
        <c:dispUnits>
          <c:builtInUnit val="millions"/>
        </c:dispUnits>
      </c:valAx>
      <c:valAx>
        <c:axId val="110782720"/>
        <c:scaling>
          <c:orientation val="minMax"/>
          <c:max val="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Single TX Price,</a:t>
                </a:r>
                <a:r>
                  <a:rPr lang="en-US" baseline="0"/>
                  <a:t> USD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5.1695914050141595E-2"/>
              <c:y val="0.5866171402487732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110780416"/>
        <c:crosses val="autoZero"/>
        <c:crossBetween val="midCat"/>
      </c:valAx>
    </c:plotArea>
    <c:legend>
      <c:legendPos val="l"/>
      <c:legendEntry>
        <c:idx val="3"/>
        <c:delete val="1"/>
      </c:legendEntry>
      <c:layout>
        <c:manualLayout>
          <c:xMode val="edge"/>
          <c:yMode val="edge"/>
          <c:x val="0.20799949650496793"/>
          <c:y val="0.21138993495378294"/>
          <c:w val="0.46449358043834127"/>
          <c:h val="0.12318110236220473"/>
        </c:manualLayout>
      </c:layout>
      <c:overlay val="1"/>
      <c:spPr>
        <a:solidFill>
          <a:schemeClr val="bg1"/>
        </a:solidFill>
        <a:ln>
          <a:solidFill>
            <a:schemeClr val="accent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42</xdr:row>
      <xdr:rowOff>0</xdr:rowOff>
    </xdr:from>
    <xdr:to>
      <xdr:col>41</xdr:col>
      <xdr:colOff>638735</xdr:colOff>
      <xdr:row>65</xdr:row>
      <xdr:rowOff>0</xdr:rowOff>
    </xdr:to>
    <xdr:graphicFrame macro="">
      <xdr:nvGraphicFramePr>
        <xdr:cNvPr id="37" name="Chart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42</xdr:col>
      <xdr:colOff>0</xdr:colOff>
      <xdr:row>42</xdr:row>
      <xdr:rowOff>0</xdr:rowOff>
    </xdr:from>
    <xdr:to>
      <xdr:col>46</xdr:col>
      <xdr:colOff>638736</xdr:colOff>
      <xdr:row>65</xdr:row>
      <xdr:rowOff>0</xdr:rowOff>
    </xdr:to>
    <xdr:graphicFrame macro="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47</xdr:col>
      <xdr:colOff>0</xdr:colOff>
      <xdr:row>42</xdr:row>
      <xdr:rowOff>0</xdr:rowOff>
    </xdr:from>
    <xdr:to>
      <xdr:col>51</xdr:col>
      <xdr:colOff>638735</xdr:colOff>
      <xdr:row>65</xdr:row>
      <xdr:rowOff>0</xdr:rowOff>
    </xdr:to>
    <xdr:graphicFrame macro="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0</xdr:colOff>
      <xdr:row>13</xdr:row>
      <xdr:rowOff>0</xdr:rowOff>
    </xdr:from>
    <xdr:to>
      <xdr:col>36</xdr:col>
      <xdr:colOff>638735</xdr:colOff>
      <xdr:row>36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33</xdr:col>
      <xdr:colOff>11207</xdr:colOff>
      <xdr:row>23</xdr:row>
      <xdr:rowOff>113963</xdr:rowOff>
    </xdr:from>
    <xdr:ext cx="914400" cy="344453"/>
    <xdr:sp macro="" textlink="">
      <xdr:nvSpPr>
        <xdr:cNvPr id="2" name="TextBox 1"/>
        <xdr:cNvSpPr txBox="1"/>
      </xdr:nvSpPr>
      <xdr:spPr>
        <a:xfrm>
          <a:off x="24115060" y="4495463"/>
          <a:ext cx="914400" cy="34445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spAutoFit/>
        </a:bodyPr>
        <a:lstStyle/>
        <a:p>
          <a:pPr algn="ctr"/>
          <a:r>
            <a:rPr lang="en-US" sz="1100"/>
            <a:t>Unfeasible</a:t>
          </a:r>
          <a:r>
            <a:rPr lang="en-US" sz="1100" baseline="0"/>
            <a:t> zone</a:t>
          </a:r>
        </a:p>
        <a:p>
          <a:pPr algn="ctr"/>
          <a:r>
            <a:rPr lang="en-US" sz="1100" baseline="0"/>
            <a:t>(W</a:t>
          </a:r>
          <a:r>
            <a:rPr lang="en-US" sz="1100" baseline="-25000"/>
            <a:t>0</a:t>
          </a:r>
          <a:r>
            <a:rPr lang="en-US" sz="1100" baseline="0"/>
            <a:t> &lt; W</a:t>
          </a:r>
          <a:r>
            <a:rPr lang="en-US" sz="1100" baseline="-25000"/>
            <a:t>T</a:t>
          </a:r>
          <a:r>
            <a:rPr lang="en-US" sz="1100" baseline="0"/>
            <a:t>)</a:t>
          </a:r>
          <a:endParaRPr lang="en-US" sz="1100"/>
        </a:p>
      </xdr:txBody>
    </xdr:sp>
    <xdr:clientData/>
  </xdr:oneCellAnchor>
  <xdr:twoCellAnchor>
    <xdr:from>
      <xdr:col>37</xdr:col>
      <xdr:colOff>0</xdr:colOff>
      <xdr:row>13</xdr:row>
      <xdr:rowOff>0</xdr:rowOff>
    </xdr:from>
    <xdr:to>
      <xdr:col>42</xdr:col>
      <xdr:colOff>-1</xdr:colOff>
      <xdr:row>36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38</xdr:col>
      <xdr:colOff>100852</xdr:colOff>
      <xdr:row>25</xdr:row>
      <xdr:rowOff>179293</xdr:rowOff>
    </xdr:from>
    <xdr:ext cx="914400" cy="403411"/>
    <xdr:sp macro="" textlink="">
      <xdr:nvSpPr>
        <xdr:cNvPr id="11" name="TextBox 10"/>
        <xdr:cNvSpPr txBox="1"/>
      </xdr:nvSpPr>
      <xdr:spPr>
        <a:xfrm>
          <a:off x="27398381" y="4941793"/>
          <a:ext cx="914400" cy="40341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en-US" sz="1100"/>
            <a:t>Transition Z</a:t>
          </a:r>
          <a:r>
            <a:rPr lang="en-US" sz="1100" baseline="0"/>
            <a:t>one</a:t>
          </a:r>
        </a:p>
        <a:p>
          <a:pPr algn="ctr"/>
          <a:r>
            <a:rPr lang="en-US" sz="1100" baseline="0"/>
            <a:t>(W</a:t>
          </a:r>
          <a:r>
            <a:rPr lang="en-US" sz="1100" baseline="-25000"/>
            <a:t>0</a:t>
          </a:r>
          <a:r>
            <a:rPr lang="en-US" sz="1100" baseline="0"/>
            <a:t> &lt; W</a:t>
          </a:r>
          <a:r>
            <a:rPr lang="en-US" sz="1100" baseline="-25000"/>
            <a:t>T</a:t>
          </a:r>
          <a:r>
            <a:rPr lang="en-US" sz="1100" baseline="0"/>
            <a:t>)</a:t>
          </a:r>
          <a:endParaRPr lang="en-US" sz="1100"/>
        </a:p>
      </xdr:txBody>
    </xdr:sp>
    <xdr:clientData/>
  </xdr:oneCellAnchor>
  <xdr:twoCellAnchor>
    <xdr:from>
      <xdr:col>42</xdr:col>
      <xdr:colOff>0</xdr:colOff>
      <xdr:row>13</xdr:row>
      <xdr:rowOff>0</xdr:rowOff>
    </xdr:from>
    <xdr:to>
      <xdr:col>47</xdr:col>
      <xdr:colOff>0</xdr:colOff>
      <xdr:row>36</xdr:row>
      <xdr:rowOff>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42</xdr:col>
      <xdr:colOff>616322</xdr:colOff>
      <xdr:row>24</xdr:row>
      <xdr:rowOff>190499</xdr:rowOff>
    </xdr:from>
    <xdr:ext cx="914400" cy="403411"/>
    <xdr:sp macro="" textlink="">
      <xdr:nvSpPr>
        <xdr:cNvPr id="13" name="TextBox 12"/>
        <xdr:cNvSpPr txBox="1"/>
      </xdr:nvSpPr>
      <xdr:spPr>
        <a:xfrm>
          <a:off x="30468793" y="4762499"/>
          <a:ext cx="914400" cy="40341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en-US" sz="1100"/>
            <a:t>Transition Z</a:t>
          </a:r>
          <a:r>
            <a:rPr lang="en-US" sz="1100" baseline="0"/>
            <a:t>one</a:t>
          </a:r>
        </a:p>
        <a:p>
          <a:pPr algn="ctr"/>
          <a:r>
            <a:rPr lang="en-US" sz="1100" baseline="0"/>
            <a:t>(W</a:t>
          </a:r>
          <a:r>
            <a:rPr lang="en-US" sz="1100" baseline="-25000"/>
            <a:t>0</a:t>
          </a:r>
          <a:r>
            <a:rPr lang="en-US" sz="1100" baseline="0"/>
            <a:t> &lt; W</a:t>
          </a:r>
          <a:r>
            <a:rPr lang="en-US" sz="1100" baseline="-25000"/>
            <a:t>T</a:t>
          </a:r>
          <a:r>
            <a:rPr lang="en-US" sz="1100" baseline="0"/>
            <a:t>)</a:t>
          </a:r>
          <a:endParaRPr 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Z239"/>
  <sheetViews>
    <sheetView tabSelected="1" topLeftCell="Z10" zoomScale="85" zoomScaleNormal="85" workbookViewId="0">
      <selection activeCell="AD25" sqref="AD25"/>
    </sheetView>
  </sheetViews>
  <sheetFormatPr defaultColWidth="9.5703125" defaultRowHeight="15" x14ac:dyDescent="0.25"/>
  <cols>
    <col min="1" max="1" width="23.140625" style="2" bestFit="1" customWidth="1"/>
    <col min="2" max="2" width="17" style="2" bestFit="1" customWidth="1"/>
    <col min="3" max="4" width="12" style="2" bestFit="1" customWidth="1"/>
    <col min="5" max="5" width="9.140625" style="2" bestFit="1" customWidth="1"/>
    <col min="6" max="6" width="19.28515625" style="2" bestFit="1" customWidth="1"/>
    <col min="7" max="7" width="20" style="2" bestFit="1" customWidth="1"/>
    <col min="8" max="16384" width="9.5703125" style="2"/>
  </cols>
  <sheetData>
    <row r="1" spans="1:29" x14ac:dyDescent="0.25">
      <c r="A1" s="2" t="s">
        <v>0</v>
      </c>
      <c r="B1" s="2">
        <v>8.5</v>
      </c>
      <c r="C1" s="2" t="s">
        <v>7</v>
      </c>
      <c r="E1" s="2" t="s">
        <v>3</v>
      </c>
      <c r="F1" s="2">
        <f>getT0()</f>
        <v>13000</v>
      </c>
      <c r="G1" s="2" t="s">
        <v>4</v>
      </c>
      <c r="I1" s="2" t="s">
        <v>2</v>
      </c>
      <c r="J1" s="2">
        <v>13</v>
      </c>
      <c r="K1" s="2" t="s">
        <v>8</v>
      </c>
      <c r="L1" s="2" t="s">
        <v>2</v>
      </c>
      <c r="M1" s="2">
        <v>13</v>
      </c>
      <c r="N1" s="2" t="s">
        <v>8</v>
      </c>
    </row>
    <row r="2" spans="1:29" x14ac:dyDescent="0.25">
      <c r="A2" s="2" t="s">
        <v>1</v>
      </c>
      <c r="B2" s="2">
        <v>60000</v>
      </c>
      <c r="C2" s="2" t="s">
        <v>4</v>
      </c>
      <c r="E2" s="2" t="s">
        <v>5</v>
      </c>
      <c r="F2" s="2">
        <f>getW0()</f>
        <v>1.012</v>
      </c>
      <c r="G2" s="2" t="s">
        <v>8</v>
      </c>
    </row>
    <row r="3" spans="1:29" x14ac:dyDescent="0.25">
      <c r="A3" s="2" t="s">
        <v>6</v>
      </c>
      <c r="B3" s="2">
        <f>1+F1/medianBlockSize</f>
        <v>1.2166666666666668</v>
      </c>
      <c r="C3" s="2" t="s">
        <v>8</v>
      </c>
    </row>
    <row r="5" spans="1:29" x14ac:dyDescent="0.25">
      <c r="F5" s="2" t="s">
        <v>22</v>
      </c>
      <c r="G5" s="2" t="s">
        <v>22</v>
      </c>
      <c r="H5" s="2" t="s">
        <v>22</v>
      </c>
      <c r="I5" s="2" t="s">
        <v>22</v>
      </c>
      <c r="J5" s="2" t="s">
        <v>22</v>
      </c>
      <c r="K5" s="2" t="s">
        <v>22</v>
      </c>
      <c r="L5" s="2" t="s">
        <v>22</v>
      </c>
      <c r="M5" s="2" t="s">
        <v>22</v>
      </c>
      <c r="N5" s="2" t="s">
        <v>22</v>
      </c>
      <c r="O5" s="2" t="s">
        <v>22</v>
      </c>
      <c r="P5" s="2" t="s">
        <v>22</v>
      </c>
      <c r="Q5" s="2" t="s">
        <v>22</v>
      </c>
      <c r="R5" s="2" t="s">
        <v>23</v>
      </c>
      <c r="S5" s="2" t="s">
        <v>23</v>
      </c>
      <c r="T5" s="2" t="s">
        <v>23</v>
      </c>
      <c r="U5" s="2" t="s">
        <v>23</v>
      </c>
      <c r="V5" s="2" t="s">
        <v>23</v>
      </c>
      <c r="W5" s="2" t="s">
        <v>23</v>
      </c>
      <c r="X5" s="2" t="s">
        <v>23</v>
      </c>
      <c r="Y5" s="2" t="s">
        <v>23</v>
      </c>
      <c r="Z5" s="2" t="s">
        <v>23</v>
      </c>
    </row>
    <row r="6" spans="1:29" x14ac:dyDescent="0.25">
      <c r="F6" s="2" t="s">
        <v>13</v>
      </c>
      <c r="G6" s="2" t="s">
        <v>13</v>
      </c>
      <c r="H6" s="2" t="s">
        <v>13</v>
      </c>
      <c r="I6" s="2" t="s">
        <v>25</v>
      </c>
      <c r="J6" s="2" t="s">
        <v>25</v>
      </c>
      <c r="K6" s="2" t="s">
        <v>25</v>
      </c>
      <c r="L6" s="2" t="s">
        <v>24</v>
      </c>
      <c r="M6" s="2" t="s">
        <v>24</v>
      </c>
      <c r="N6" s="2" t="s">
        <v>24</v>
      </c>
      <c r="O6" s="2" t="s">
        <v>18</v>
      </c>
      <c r="P6" s="2" t="s">
        <v>18</v>
      </c>
      <c r="Q6" s="2" t="s">
        <v>18</v>
      </c>
      <c r="R6" s="2" t="s">
        <v>13</v>
      </c>
      <c r="S6" s="2" t="s">
        <v>13</v>
      </c>
      <c r="T6" s="2" t="s">
        <v>13</v>
      </c>
      <c r="U6" s="2" t="s">
        <v>14</v>
      </c>
      <c r="V6" s="2" t="s">
        <v>14</v>
      </c>
      <c r="W6" s="2" t="s">
        <v>14</v>
      </c>
      <c r="X6" s="2" t="s">
        <v>18</v>
      </c>
      <c r="Y6" s="2" t="s">
        <v>18</v>
      </c>
      <c r="Z6" s="2" t="s">
        <v>18</v>
      </c>
    </row>
    <row r="7" spans="1:29" x14ac:dyDescent="0.25">
      <c r="B7" s="3" t="s">
        <v>9</v>
      </c>
      <c r="C7" s="2" t="s">
        <v>10</v>
      </c>
      <c r="D7" s="2" t="s">
        <v>11</v>
      </c>
      <c r="E7" s="2" t="s">
        <v>12</v>
      </c>
      <c r="F7" s="2" t="s">
        <v>15</v>
      </c>
      <c r="G7" s="2" t="s">
        <v>16</v>
      </c>
      <c r="H7" s="2" t="s">
        <v>17</v>
      </c>
      <c r="I7" s="2" t="s">
        <v>15</v>
      </c>
      <c r="J7" s="2" t="s">
        <v>16</v>
      </c>
      <c r="K7" s="2" t="s">
        <v>17</v>
      </c>
      <c r="L7" s="2" t="s">
        <v>15</v>
      </c>
      <c r="M7" s="2" t="s">
        <v>16</v>
      </c>
      <c r="N7" s="2" t="s">
        <v>17</v>
      </c>
      <c r="O7" s="2" t="s">
        <v>15</v>
      </c>
      <c r="P7" s="2" t="s">
        <v>16</v>
      </c>
      <c r="Q7" s="2" t="s">
        <v>17</v>
      </c>
      <c r="R7" s="2" t="s">
        <v>15</v>
      </c>
      <c r="S7" s="2" t="s">
        <v>16</v>
      </c>
      <c r="T7" s="2" t="s">
        <v>17</v>
      </c>
      <c r="U7" s="2" t="s">
        <v>15</v>
      </c>
      <c r="V7" s="2" t="s">
        <v>16</v>
      </c>
      <c r="W7" s="2" t="s">
        <v>17</v>
      </c>
      <c r="X7" s="2" t="s">
        <v>15</v>
      </c>
      <c r="Y7" s="2" t="s">
        <v>16</v>
      </c>
      <c r="Z7" s="2" t="s">
        <v>17</v>
      </c>
    </row>
    <row r="8" spans="1:29" x14ac:dyDescent="0.25">
      <c r="B8" s="4">
        <f>B9</f>
        <v>1083333.3333333323</v>
      </c>
      <c r="C8" s="4">
        <v>0</v>
      </c>
      <c r="D8" s="4">
        <v>0</v>
      </c>
      <c r="E8" s="2">
        <v>0</v>
      </c>
      <c r="F8" s="1">
        <v>0</v>
      </c>
      <c r="G8" s="1">
        <v>0</v>
      </c>
      <c r="H8" s="1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2">
        <v>0</v>
      </c>
      <c r="V8" s="2">
        <v>0</v>
      </c>
      <c r="W8" s="2">
        <v>0</v>
      </c>
      <c r="X8" s="1">
        <v>0</v>
      </c>
      <c r="Y8" s="1">
        <v>0</v>
      </c>
      <c r="Z8" s="1">
        <v>0</v>
      </c>
    </row>
    <row r="9" spans="1:29" x14ac:dyDescent="0.25">
      <c r="B9" s="4">
        <f>T_0/(W_0-1)</f>
        <v>1083333.3333333323</v>
      </c>
      <c r="C9" s="4">
        <f>($B9/$B$15)*XMRUSD</f>
        <v>234.722222222222</v>
      </c>
      <c r="D9" s="4">
        <f t="shared" ref="D8:D10" si="0">($B9/$B$15)^2*XMRUSD</f>
        <v>4238.0401234567826</v>
      </c>
      <c r="E9" s="2">
        <f t="shared" ref="E8:E10" si="1">XMRUSD</f>
        <v>13</v>
      </c>
      <c r="F9" s="1">
        <f>getNeutralFee(baseReward,$B9,IF(T_0/$B9+1&gt;W_0,T_0/$B9+1,W_0))*T_0*$C9</f>
        <v>0.28730000000000022</v>
      </c>
      <c r="G9" s="1">
        <f>getNeutralFee(baseReward,$B9,IF(T_0/$B9+1&gt;W_0,T_0/$B9+1,W_0))*T_0*$D9</f>
        <v>5.1873611111111115</v>
      </c>
      <c r="H9" s="1">
        <f>getNeutralFee(baseReward,$B9,IF(T_0/$B9+1&gt;W_0,T_0/$B9+1,W_0))*T_0*$E9</f>
        <v>1.591200000000003E-2</v>
      </c>
      <c r="I9" s="2">
        <f>getNeutralFeeOld(baseReward,$B9,W_0)*T_0*$C9</f>
        <v>0.28730000000000022</v>
      </c>
      <c r="J9" s="2">
        <f>getNeutralFeeOld(baseReward,$B9,W_0)*T_0*$D9</f>
        <v>5.1873611111111115</v>
      </c>
      <c r="K9" s="2">
        <f>getNeutralFeeOld(baseReward,$B9,W_0)*T_0*$E9</f>
        <v>1.591200000000003E-2</v>
      </c>
      <c r="L9" s="2">
        <f t="shared" ref="L8:L10" si="2">getNeutralFeeOld(baseReward,$B9,IF(T_0/$B9+1&gt;W_0,T_0/$B9+1,W_0))*T_0*$C9</f>
        <v>0.28730000000000022</v>
      </c>
      <c r="M9" s="2">
        <f t="shared" ref="M8:M10" si="3">getNeutralFeeOld(baseReward,$B9,IF(T_0/$B9+1&gt;W_0,T_0/$B9+1,W_0))*T_0*$D9</f>
        <v>5.1873611111111115</v>
      </c>
      <c r="N9" s="2">
        <f t="shared" ref="N8:N10" si="4">getNeutralFeeOld(baseReward,$B9,IF(T_0/$B9+1&gt;W_0,T_0/$B9+1,W_0))*T_0*$E9</f>
        <v>1.591200000000003E-2</v>
      </c>
      <c r="O9" s="1">
        <f t="shared" ref="O8:O10" si="5">getNeutralFee(baseReward,$B9,T_0/$B9+1)*T_0*$C9</f>
        <v>0.28730000000000022</v>
      </c>
      <c r="P9" s="1">
        <f t="shared" ref="P8:P10" si="6">getNeutralFee(baseReward,$B9,T_0/$B9+1)*T_0*$D9</f>
        <v>5.1873611111111115</v>
      </c>
      <c r="Q9" s="1">
        <f t="shared" ref="Q8:Q10" si="7">getNeutralFee(baseReward,$B9,T_0/$B9+1)*T_0*$E9</f>
        <v>1.591200000000003E-2</v>
      </c>
      <c r="R9" s="1">
        <f t="shared" ref="R8:R10" si="8">getNeutralFee(baseReward,$B9,IF(T_0/$B9+1&gt;W_0,T_0/$B9+1,W_0))*$B9*$C9</f>
        <v>23.941666666666666</v>
      </c>
      <c r="S9" s="1">
        <f t="shared" ref="S8:S10" si="9">getNeutralFee(baseReward,$B9,IF(T_0/$B9+1&gt;W_0,T_0/$B9+1,W_0))*$B9*$D9</f>
        <v>432.28009259259221</v>
      </c>
      <c r="T9" s="1">
        <f t="shared" ref="T8:T10" si="10">getNeutralFee(baseReward,$B9,IF(T_0/$B9+1&gt;W_0,T_0/$B9+1,W_0))*$B9*$E9</f>
        <v>1.3260000000000012</v>
      </c>
      <c r="U9" s="2">
        <f t="shared" ref="U8:U10" si="11">getNeutralFeeOld(baseReward,$B9,IF(T_0/$B9+1&gt;W_0,T_0/$B9+1,W_0))*$B9*$C9</f>
        <v>23.941666666666666</v>
      </c>
      <c r="V9" s="2">
        <f t="shared" ref="V8:V10" si="12">getNeutralFeeOld(baseReward,$B9,IF(T_0/$B9+1&gt;W_0,T_0/$B9+1,W_0))*$B9*$D9</f>
        <v>432.28009259259221</v>
      </c>
      <c r="W9" s="2">
        <f t="shared" ref="W8:W10" si="13">getNeutralFeeOld(baseReward,$B9,IF(T_0/$B9+1&gt;W_0,T_0/$B9+1,W_0))*$B9*$E9</f>
        <v>1.3260000000000012</v>
      </c>
      <c r="X9" s="1">
        <f t="shared" ref="X8:X10" si="14">getNeutralFee(baseReward,$B9,T_0/$B9+1)*$B9*$C9</f>
        <v>23.941666666666666</v>
      </c>
      <c r="Y9" s="1">
        <f t="shared" ref="Y8:Y10" si="15">getNeutralFee(baseReward,$B9,T_0/$B9+1)*$B9*$D9</f>
        <v>432.28009259259221</v>
      </c>
      <c r="Z9" s="1">
        <f t="shared" ref="Z8:Z10" si="16">getNeutralFee(baseReward,$B9,T_0/$B9+1)*$B9*$E9</f>
        <v>1.3260000000000012</v>
      </c>
    </row>
    <row r="10" spans="1:29" x14ac:dyDescent="0.25">
      <c r="B10" s="4">
        <v>0</v>
      </c>
      <c r="C10" s="4">
        <f>C9</f>
        <v>234.722222222222</v>
      </c>
      <c r="D10" s="4">
        <f t="shared" ref="D10:Z10" si="17">D9</f>
        <v>4238.0401234567826</v>
      </c>
      <c r="E10" s="4">
        <f t="shared" si="17"/>
        <v>13</v>
      </c>
      <c r="F10" s="4">
        <f t="shared" si="17"/>
        <v>0.28730000000000022</v>
      </c>
      <c r="G10" s="4">
        <f t="shared" si="17"/>
        <v>5.1873611111111115</v>
      </c>
      <c r="H10" s="4">
        <f t="shared" si="17"/>
        <v>1.591200000000003E-2</v>
      </c>
      <c r="I10" s="4">
        <f t="shared" si="17"/>
        <v>0.28730000000000022</v>
      </c>
      <c r="J10" s="4">
        <f t="shared" si="17"/>
        <v>5.1873611111111115</v>
      </c>
      <c r="K10" s="4">
        <f t="shared" si="17"/>
        <v>1.591200000000003E-2</v>
      </c>
      <c r="L10" s="4">
        <f t="shared" si="17"/>
        <v>0.28730000000000022</v>
      </c>
      <c r="M10" s="4">
        <f t="shared" si="17"/>
        <v>5.1873611111111115</v>
      </c>
      <c r="N10" s="4">
        <f t="shared" si="17"/>
        <v>1.591200000000003E-2</v>
      </c>
      <c r="O10" s="4">
        <f t="shared" si="17"/>
        <v>0.28730000000000022</v>
      </c>
      <c r="P10" s="4">
        <f t="shared" si="17"/>
        <v>5.1873611111111115</v>
      </c>
      <c r="Q10" s="4">
        <f t="shared" si="17"/>
        <v>1.591200000000003E-2</v>
      </c>
      <c r="R10" s="4">
        <f t="shared" si="17"/>
        <v>23.941666666666666</v>
      </c>
      <c r="S10" s="4">
        <f t="shared" si="17"/>
        <v>432.28009259259221</v>
      </c>
      <c r="T10" s="4">
        <f t="shared" si="17"/>
        <v>1.3260000000000012</v>
      </c>
      <c r="U10" s="4">
        <f t="shared" si="17"/>
        <v>23.941666666666666</v>
      </c>
      <c r="V10" s="4">
        <f t="shared" si="17"/>
        <v>432.28009259259221</v>
      </c>
      <c r="W10" s="4">
        <f t="shared" si="17"/>
        <v>1.3260000000000012</v>
      </c>
      <c r="X10" s="4">
        <f t="shared" si="17"/>
        <v>23.941666666666666</v>
      </c>
      <c r="Y10" s="4">
        <f t="shared" si="17"/>
        <v>432.28009259259221</v>
      </c>
      <c r="Z10" s="4">
        <f t="shared" si="17"/>
        <v>1.3260000000000012</v>
      </c>
    </row>
    <row r="12" spans="1:29" x14ac:dyDescent="0.25">
      <c r="F12" s="2" t="s">
        <v>22</v>
      </c>
      <c r="G12" s="2" t="s">
        <v>22</v>
      </c>
      <c r="H12" s="2" t="s">
        <v>22</v>
      </c>
      <c r="I12" s="2" t="s">
        <v>22</v>
      </c>
      <c r="J12" s="2" t="s">
        <v>22</v>
      </c>
      <c r="K12" s="2" t="s">
        <v>22</v>
      </c>
      <c r="L12" s="2" t="s">
        <v>22</v>
      </c>
      <c r="M12" s="2" t="s">
        <v>22</v>
      </c>
      <c r="N12" s="2" t="s">
        <v>22</v>
      </c>
      <c r="O12" s="2" t="s">
        <v>22</v>
      </c>
      <c r="P12" s="2" t="s">
        <v>22</v>
      </c>
      <c r="Q12" s="2" t="s">
        <v>22</v>
      </c>
      <c r="R12" s="2" t="s">
        <v>23</v>
      </c>
      <c r="S12" s="2" t="s">
        <v>23</v>
      </c>
      <c r="T12" s="2" t="s">
        <v>23</v>
      </c>
      <c r="U12" s="2" t="s">
        <v>23</v>
      </c>
      <c r="V12" s="2" t="s">
        <v>23</v>
      </c>
      <c r="W12" s="2" t="s">
        <v>23</v>
      </c>
      <c r="X12" s="2" t="s">
        <v>23</v>
      </c>
      <c r="Y12" s="2" t="s">
        <v>23</v>
      </c>
      <c r="Z12" s="2" t="s">
        <v>23</v>
      </c>
    </row>
    <row r="13" spans="1:29" x14ac:dyDescent="0.25">
      <c r="F13" s="2" t="s">
        <v>13</v>
      </c>
      <c r="G13" s="2" t="s">
        <v>13</v>
      </c>
      <c r="H13" s="2" t="s">
        <v>13</v>
      </c>
      <c r="I13" s="2" t="s">
        <v>25</v>
      </c>
      <c r="J13" s="2" t="s">
        <v>25</v>
      </c>
      <c r="K13" s="2" t="s">
        <v>25</v>
      </c>
      <c r="L13" s="2" t="s">
        <v>24</v>
      </c>
      <c r="M13" s="2" t="s">
        <v>24</v>
      </c>
      <c r="N13" s="2" t="s">
        <v>24</v>
      </c>
      <c r="O13" s="2" t="s">
        <v>18</v>
      </c>
      <c r="P13" s="2" t="s">
        <v>18</v>
      </c>
      <c r="Q13" s="2" t="s">
        <v>18</v>
      </c>
      <c r="R13" s="2" t="s">
        <v>13</v>
      </c>
      <c r="S13" s="2" t="s">
        <v>13</v>
      </c>
      <c r="T13" s="2" t="s">
        <v>13</v>
      </c>
      <c r="U13" s="2" t="s">
        <v>14</v>
      </c>
      <c r="V13" s="2" t="s">
        <v>14</v>
      </c>
      <c r="W13" s="2" t="s">
        <v>14</v>
      </c>
      <c r="X13" s="2" t="s">
        <v>18</v>
      </c>
      <c r="Y13" s="2" t="s">
        <v>18</v>
      </c>
      <c r="Z13" s="2" t="s">
        <v>18</v>
      </c>
    </row>
    <row r="14" spans="1:29" x14ac:dyDescent="0.25">
      <c r="B14" s="3" t="s">
        <v>9</v>
      </c>
      <c r="C14" s="2" t="s">
        <v>10</v>
      </c>
      <c r="D14" s="2" t="s">
        <v>11</v>
      </c>
      <c r="E14" s="2" t="s">
        <v>12</v>
      </c>
      <c r="F14" s="2" t="s">
        <v>15</v>
      </c>
      <c r="G14" s="2" t="s">
        <v>16</v>
      </c>
      <c r="H14" s="2" t="s">
        <v>17</v>
      </c>
      <c r="I14" s="2" t="s">
        <v>15</v>
      </c>
      <c r="J14" s="2" t="s">
        <v>16</v>
      </c>
      <c r="K14" s="2" t="s">
        <v>17</v>
      </c>
      <c r="L14" s="2" t="s">
        <v>15</v>
      </c>
      <c r="M14" s="2" t="s">
        <v>16</v>
      </c>
      <c r="N14" s="2" t="s">
        <v>17</v>
      </c>
      <c r="O14" s="2" t="s">
        <v>15</v>
      </c>
      <c r="P14" s="2" t="s">
        <v>16</v>
      </c>
      <c r="Q14" s="2" t="s">
        <v>17</v>
      </c>
      <c r="R14" s="2" t="s">
        <v>15</v>
      </c>
      <c r="S14" s="2" t="s">
        <v>16</v>
      </c>
      <c r="T14" s="2" t="s">
        <v>17</v>
      </c>
      <c r="U14" s="2" t="s">
        <v>15</v>
      </c>
      <c r="V14" s="2" t="s">
        <v>16</v>
      </c>
      <c r="W14" s="2" t="s">
        <v>17</v>
      </c>
      <c r="X14" s="2" t="s">
        <v>15</v>
      </c>
      <c r="Y14" s="2" t="s">
        <v>16</v>
      </c>
      <c r="Z14" s="2" t="s">
        <v>17</v>
      </c>
    </row>
    <row r="15" spans="1:29" x14ac:dyDescent="0.25">
      <c r="B15" s="4">
        <v>60000</v>
      </c>
      <c r="C15" s="4">
        <f>($B15/$B$15)*XMRUSD</f>
        <v>13</v>
      </c>
      <c r="D15" s="4">
        <f t="shared" ref="D15:D78" si="18">($B15/$B$15)^2*XMRUSD</f>
        <v>13</v>
      </c>
      <c r="E15" s="2">
        <f t="shared" ref="E15:E78" si="19">XMRUSD</f>
        <v>13</v>
      </c>
      <c r="F15" s="1">
        <f>getNeutralFee(baseReward,$B15,IF(T_0/$B15+1&gt;W_0,T_0/$B15+1,W_0))*T_0*$C15</f>
        <v>1.5912000000000075E-2</v>
      </c>
      <c r="G15" s="1">
        <f>getNeutralFee(baseReward,$B15,IF(T_0/$B15+1&gt;W_0,T_0/$B15+1,W_0))*T_0*$D15</f>
        <v>1.5912000000000075E-2</v>
      </c>
      <c r="H15" s="1">
        <f>getNeutralFee(baseReward,$B15,IF(T_0/$B15+1&gt;W_0,T_0/$B15+1,W_0))*T_0*$E15</f>
        <v>1.5912000000000075E-2</v>
      </c>
      <c r="I15" s="2">
        <f>getNeutralFeeOld(baseReward,$B15,W_0)*T_0*$C15</f>
        <v>0.28730000000000022</v>
      </c>
      <c r="J15" s="2">
        <f>getNeutralFeeOld(baseReward,$B15,W_0)*T_0*$D15</f>
        <v>0.28730000000000022</v>
      </c>
      <c r="K15" s="2">
        <f>getNeutralFeeOld(baseReward,$B15,W_0)*T_0*$E15</f>
        <v>0.28730000000000022</v>
      </c>
      <c r="L15" s="2">
        <f t="shared" ref="L15:L78" si="20">getNeutralFeeOld(baseReward,$B15,IF(T_0/$B15+1&gt;W_0,T_0/$B15+1,W_0))*T_0*$C15</f>
        <v>5.1873611111111133</v>
      </c>
      <c r="M15" s="2">
        <f t="shared" ref="M15:M78" si="21">getNeutralFeeOld(baseReward,$B15,IF(T_0/$B15+1&gt;W_0,T_0/$B15+1,W_0))*T_0*$D15</f>
        <v>5.1873611111111133</v>
      </c>
      <c r="N15" s="2">
        <f t="shared" ref="N15:N78" si="22">getNeutralFeeOld(baseReward,$B15,IF(T_0/$B15+1&gt;W_0,T_0/$B15+1,W_0))*T_0*$E15</f>
        <v>5.1873611111111133</v>
      </c>
      <c r="O15" s="1">
        <f t="shared" ref="O15:O78" si="23">getNeutralFee(baseReward,$B15,T_0/$B15+1)*T_0*$C15</f>
        <v>1.5912000000000075E-2</v>
      </c>
      <c r="P15" s="1">
        <f t="shared" ref="P15:P78" si="24">getNeutralFee(baseReward,$B15,T_0/$B15+1)*T_0*$D15</f>
        <v>1.5912000000000075E-2</v>
      </c>
      <c r="Q15" s="1">
        <f t="shared" ref="Q15:Q78" si="25">getNeutralFee(baseReward,$B15,T_0/$B15+1)*T_0*$E15</f>
        <v>1.5912000000000075E-2</v>
      </c>
      <c r="R15" s="1">
        <f t="shared" ref="R15:R78" si="26">getNeutralFee(baseReward,$B15,IF(T_0/$B15+1&gt;W_0,T_0/$B15+1,W_0))*$B15*$C15</f>
        <v>7.3440000000000366E-2</v>
      </c>
      <c r="S15" s="1">
        <f t="shared" ref="S15:S78" si="27">getNeutralFee(baseReward,$B15,IF(T_0/$B15+1&gt;W_0,T_0/$B15+1,W_0))*$B15*$D15</f>
        <v>7.3440000000000366E-2</v>
      </c>
      <c r="T15" s="1">
        <f t="shared" ref="T15:T78" si="28">getNeutralFee(baseReward,$B15,IF(T_0/$B15+1&gt;W_0,T_0/$B15+1,W_0))*$B15*$E15</f>
        <v>7.3440000000000366E-2</v>
      </c>
      <c r="U15" s="2">
        <f t="shared" ref="U15:U78" si="29">getNeutralFeeOld(baseReward,$B15,IF(T_0/$B15+1&gt;W_0,T_0/$B15+1,W_0))*$B15*$C15</f>
        <v>23.941666666666677</v>
      </c>
      <c r="V15" s="2">
        <f t="shared" ref="V15:V78" si="30">getNeutralFeeOld(baseReward,$B15,IF(T_0/$B15+1&gt;W_0,T_0/$B15+1,W_0))*$B15*$D15</f>
        <v>23.941666666666677</v>
      </c>
      <c r="W15" s="2">
        <f t="shared" ref="W15:W78" si="31">getNeutralFeeOld(baseReward,$B15,IF(T_0/$B15+1&gt;W_0,T_0/$B15+1,W_0))*$B15*$E15</f>
        <v>23.941666666666677</v>
      </c>
      <c r="X15" s="1">
        <f t="shared" ref="X15:X78" si="32">getNeutralFee(baseReward,$B15,T_0/$B15+1)*$B15*$C15</f>
        <v>7.3440000000000366E-2</v>
      </c>
      <c r="Y15" s="1">
        <f t="shared" ref="Y15:Y78" si="33">getNeutralFee(baseReward,$B15,T_0/$B15+1)*$B15*$D15</f>
        <v>7.3440000000000366E-2</v>
      </c>
      <c r="Z15" s="1">
        <f t="shared" ref="Z15:Z78" si="34">getNeutralFee(baseReward,$B15,T_0/$B15+1)*$B15*$E15</f>
        <v>7.3440000000000366E-2</v>
      </c>
      <c r="AA15" s="1"/>
      <c r="AB15" s="1"/>
      <c r="AC15" s="1"/>
    </row>
    <row r="16" spans="1:29" x14ac:dyDescent="0.25">
      <c r="B16" s="4">
        <f>IF(AND(T_0/(W_0-1)&gt;B15*1.1,T_0/(W_0-1)&lt;B15*1.1^2),T_0/(W_0-1),B15*1.1)</f>
        <v>66000</v>
      </c>
      <c r="C16" s="4">
        <f t="shared" ref="C16:C79" si="35">(B16/$B$15)*XMRUSD</f>
        <v>14.3</v>
      </c>
      <c r="D16" s="4">
        <f t="shared" si="18"/>
        <v>15.730000000000002</v>
      </c>
      <c r="E16" s="2">
        <f t="shared" si="19"/>
        <v>13</v>
      </c>
      <c r="F16" s="1">
        <f t="shared" ref="F16:F79" si="36">getNeutralFee(baseReward,B16,IF(T_0/B16+1&gt;W_0,T_0/B16+1,W_0))*T_0*C16</f>
        <v>1.7503200000000021E-2</v>
      </c>
      <c r="G16" s="1">
        <f t="shared" ref="G16:G79" si="37">getNeutralFee(baseReward,$B16,IF(T_0/$B16+1&gt;W_0,T_0/$B16+1,W_0))*T_0*D16</f>
        <v>1.9253520000000024E-2</v>
      </c>
      <c r="H16" s="1">
        <f t="shared" ref="H16:H79" si="38">getNeutralFee(baseReward,B16,IF(T_0/B16+1&gt;W_0,T_0/B16+1,W_0))*T_0*E16</f>
        <v>1.5912000000000016E-2</v>
      </c>
      <c r="I16" s="2">
        <f>getNeutralFeeOld(baseReward,$B16,W_0)*T_0*$C16</f>
        <v>0.28730000000000028</v>
      </c>
      <c r="J16" s="2">
        <f>getNeutralFeeOld(baseReward,$B16,W_0)*T_0*$D16</f>
        <v>0.31603000000000037</v>
      </c>
      <c r="K16" s="2">
        <f>getNeutralFeeOld(baseReward,$B16,W_0)*T_0*$E16</f>
        <v>0.26118181818181846</v>
      </c>
      <c r="L16" s="2">
        <f t="shared" si="20"/>
        <v>4.7157828282828289</v>
      </c>
      <c r="M16" s="2">
        <f t="shared" si="21"/>
        <v>5.1873611111111124</v>
      </c>
      <c r="N16" s="2">
        <f t="shared" si="22"/>
        <v>4.2870752984389355</v>
      </c>
      <c r="O16" s="1">
        <f t="shared" si="23"/>
        <v>1.7503200000000021E-2</v>
      </c>
      <c r="P16" s="1">
        <f t="shared" si="24"/>
        <v>1.9253520000000024E-2</v>
      </c>
      <c r="Q16" s="1">
        <f t="shared" si="25"/>
        <v>1.5912000000000016E-2</v>
      </c>
      <c r="R16" s="1">
        <f t="shared" si="26"/>
        <v>8.8862400000000105E-2</v>
      </c>
      <c r="S16" s="1">
        <f t="shared" si="27"/>
        <v>9.7748640000000123E-2</v>
      </c>
      <c r="T16" s="1">
        <f t="shared" si="28"/>
        <v>8.0784000000000092E-2</v>
      </c>
      <c r="U16" s="2">
        <f t="shared" si="29"/>
        <v>23.941666666666674</v>
      </c>
      <c r="V16" s="2">
        <f t="shared" si="30"/>
        <v>26.335833333333341</v>
      </c>
      <c r="W16" s="2">
        <f t="shared" si="31"/>
        <v>21.765151515151519</v>
      </c>
      <c r="X16" s="1">
        <f t="shared" si="32"/>
        <v>8.8862400000000105E-2</v>
      </c>
      <c r="Y16" s="1">
        <f t="shared" si="33"/>
        <v>9.7748640000000123E-2</v>
      </c>
      <c r="Z16" s="1">
        <f t="shared" si="34"/>
        <v>8.0784000000000092E-2</v>
      </c>
      <c r="AA16" s="1"/>
      <c r="AB16" s="1"/>
      <c r="AC16" s="1"/>
    </row>
    <row r="17" spans="2:29" x14ac:dyDescent="0.25">
      <c r="B17" s="4">
        <f>IF(AND(T_0/(W_0-1)&gt;B16*1.1,T_0/(W_0-1)&lt;B16*1.1^2),T_0/(W_0-1),B16*1.1)</f>
        <v>72600</v>
      </c>
      <c r="C17" s="4">
        <f t="shared" si="35"/>
        <v>15.73</v>
      </c>
      <c r="D17" s="4">
        <f t="shared" si="18"/>
        <v>19.033300000000001</v>
      </c>
      <c r="E17" s="2">
        <f t="shared" si="19"/>
        <v>13</v>
      </c>
      <c r="F17" s="1">
        <f t="shared" si="36"/>
        <v>1.9253520000000031E-2</v>
      </c>
      <c r="G17" s="1">
        <f t="shared" si="37"/>
        <v>2.3296759200000038E-2</v>
      </c>
      <c r="H17" s="1">
        <f t="shared" si="38"/>
        <v>1.5912000000000027E-2</v>
      </c>
      <c r="I17" s="2">
        <f>getNeutralFeeOld(baseReward,$B17,W_0)*T_0*$C17</f>
        <v>0.28730000000000028</v>
      </c>
      <c r="J17" s="2">
        <f>getNeutralFeeOld(baseReward,$B17,W_0)*T_0*$D17</f>
        <v>0.3476330000000003</v>
      </c>
      <c r="K17" s="2">
        <f>getNeutralFeeOld(baseReward,$B17,W_0)*T_0*$E17</f>
        <v>0.23743801652892582</v>
      </c>
      <c r="L17" s="2">
        <f t="shared" si="20"/>
        <v>4.2870752984389338</v>
      </c>
      <c r="M17" s="2">
        <f t="shared" si="21"/>
        <v>5.1873611111111098</v>
      </c>
      <c r="N17" s="2">
        <f t="shared" si="22"/>
        <v>3.543037436726391</v>
      </c>
      <c r="O17" s="1">
        <f t="shared" si="23"/>
        <v>1.9253520000000031E-2</v>
      </c>
      <c r="P17" s="1">
        <f t="shared" si="24"/>
        <v>2.3296759200000038E-2</v>
      </c>
      <c r="Q17" s="1">
        <f t="shared" si="25"/>
        <v>1.5912000000000027E-2</v>
      </c>
      <c r="R17" s="1">
        <f t="shared" si="26"/>
        <v>0.10752350400000017</v>
      </c>
      <c r="S17" s="1">
        <f t="shared" si="27"/>
        <v>0.13010343984000022</v>
      </c>
      <c r="T17" s="1">
        <f t="shared" si="28"/>
        <v>8.8862400000000147E-2</v>
      </c>
      <c r="U17" s="2">
        <f t="shared" si="29"/>
        <v>23.941666666666659</v>
      </c>
      <c r="V17" s="2">
        <f t="shared" si="30"/>
        <v>28.96941666666666</v>
      </c>
      <c r="W17" s="2">
        <f t="shared" si="31"/>
        <v>19.786501377410463</v>
      </c>
      <c r="X17" s="1">
        <f t="shared" si="32"/>
        <v>0.10752350400000017</v>
      </c>
      <c r="Y17" s="1">
        <f t="shared" si="33"/>
        <v>0.13010343984000022</v>
      </c>
      <c r="Z17" s="1">
        <f t="shared" si="34"/>
        <v>8.8862400000000147E-2</v>
      </c>
      <c r="AA17" s="1"/>
      <c r="AB17" s="1"/>
      <c r="AC17" s="1"/>
    </row>
    <row r="18" spans="2:29" x14ac:dyDescent="0.25">
      <c r="B18" s="4">
        <f>IF(AND(T_0/(W_0-1)&gt;B17*1.1,T_0/(W_0-1)&lt;B17*1.1^2),T_0/(W_0-1),B17*1.1)</f>
        <v>79860</v>
      </c>
      <c r="C18" s="4">
        <f t="shared" si="35"/>
        <v>17.303000000000001</v>
      </c>
      <c r="D18" s="4">
        <f t="shared" si="18"/>
        <v>23.030293</v>
      </c>
      <c r="E18" s="2">
        <f t="shared" si="19"/>
        <v>13</v>
      </c>
      <c r="F18" s="1">
        <f t="shared" si="36"/>
        <v>2.1178872000000033E-2</v>
      </c>
      <c r="G18" s="1">
        <f t="shared" si="37"/>
        <v>2.8189078632000042E-2</v>
      </c>
      <c r="H18" s="1">
        <f t="shared" si="38"/>
        <v>1.5912000000000023E-2</v>
      </c>
      <c r="I18" s="2">
        <f>getNeutralFeeOld(baseReward,$B18,W_0)*T_0*$C18</f>
        <v>0.28730000000000028</v>
      </c>
      <c r="J18" s="2">
        <f>getNeutralFeeOld(baseReward,$B18,W_0)*T_0*$D18</f>
        <v>0.38239630000000036</v>
      </c>
      <c r="K18" s="2">
        <f>getNeutralFeeOld(baseReward,$B18,W_0)*T_0*$E18</f>
        <v>0.21585274229902349</v>
      </c>
      <c r="L18" s="2">
        <f t="shared" si="20"/>
        <v>3.8973411803990325</v>
      </c>
      <c r="M18" s="2">
        <f t="shared" si="21"/>
        <v>5.1873611111111115</v>
      </c>
      <c r="N18" s="2">
        <f t="shared" si="22"/>
        <v>2.9281301129970188</v>
      </c>
      <c r="O18" s="1">
        <f t="shared" si="23"/>
        <v>2.1178872000000033E-2</v>
      </c>
      <c r="P18" s="1">
        <f t="shared" si="24"/>
        <v>2.8189078632000042E-2</v>
      </c>
      <c r="Q18" s="1">
        <f t="shared" si="25"/>
        <v>1.5912000000000023E-2</v>
      </c>
      <c r="R18" s="1">
        <f t="shared" si="26"/>
        <v>0.1301034398400002</v>
      </c>
      <c r="S18" s="1">
        <f t="shared" si="27"/>
        <v>0.17316767842704026</v>
      </c>
      <c r="T18" s="1">
        <f t="shared" si="28"/>
        <v>9.774864000000015E-2</v>
      </c>
      <c r="U18" s="2">
        <f t="shared" si="29"/>
        <v>23.94166666666667</v>
      </c>
      <c r="V18" s="2">
        <f t="shared" si="30"/>
        <v>31.866358333333338</v>
      </c>
      <c r="W18" s="2">
        <f t="shared" si="31"/>
        <v>17.987728524918609</v>
      </c>
      <c r="X18" s="1">
        <f t="shared" si="32"/>
        <v>0.1301034398400002</v>
      </c>
      <c r="Y18" s="1">
        <f t="shared" si="33"/>
        <v>0.17316767842704026</v>
      </c>
      <c r="Z18" s="1">
        <f t="shared" si="34"/>
        <v>9.774864000000015E-2</v>
      </c>
      <c r="AA18" s="1"/>
      <c r="AB18" s="1"/>
      <c r="AC18" s="1"/>
    </row>
    <row r="19" spans="2:29" x14ac:dyDescent="0.25">
      <c r="B19" s="4">
        <f>IF(AND(T_0/(W_0-1)&gt;B18*1.1,T_0/(W_0-1)&lt;B18*1.1^2),T_0/(W_0-1),B18*1.1)</f>
        <v>87846</v>
      </c>
      <c r="C19" s="4">
        <f t="shared" si="35"/>
        <v>19.033300000000001</v>
      </c>
      <c r="D19" s="4">
        <f t="shared" si="18"/>
        <v>27.866654529999998</v>
      </c>
      <c r="E19" s="2">
        <f t="shared" si="19"/>
        <v>13</v>
      </c>
      <c r="F19" s="1">
        <f t="shared" si="36"/>
        <v>2.3296759200000048E-2</v>
      </c>
      <c r="G19" s="1">
        <f t="shared" si="37"/>
        <v>3.4108785144720065E-2</v>
      </c>
      <c r="H19" s="1">
        <f t="shared" si="38"/>
        <v>1.591200000000003E-2</v>
      </c>
      <c r="I19" s="2">
        <f>getNeutralFeeOld(baseReward,$B19,W_0)*T_0*$C19</f>
        <v>0.28730000000000028</v>
      </c>
      <c r="J19" s="2">
        <f>getNeutralFeeOld(baseReward,$B19,W_0)*T_0*$D19</f>
        <v>0.42063593000000038</v>
      </c>
      <c r="K19" s="2">
        <f>getNeutralFeeOld(baseReward,$B19,W_0)*T_0*$E19</f>
        <v>0.19622976572638498</v>
      </c>
      <c r="L19" s="2">
        <f t="shared" si="20"/>
        <v>3.543037436726391</v>
      </c>
      <c r="M19" s="2">
        <f t="shared" si="21"/>
        <v>5.1873611111111089</v>
      </c>
      <c r="N19" s="2">
        <f t="shared" si="22"/>
        <v>2.4199422421462953</v>
      </c>
      <c r="O19" s="1">
        <f t="shared" si="23"/>
        <v>2.3296759200000048E-2</v>
      </c>
      <c r="P19" s="1">
        <f t="shared" si="24"/>
        <v>3.4108785144720065E-2</v>
      </c>
      <c r="Q19" s="1">
        <f t="shared" si="25"/>
        <v>1.591200000000003E-2</v>
      </c>
      <c r="R19" s="1">
        <f t="shared" si="26"/>
        <v>0.15742516220640029</v>
      </c>
      <c r="S19" s="1">
        <f t="shared" si="27"/>
        <v>0.23048617998639065</v>
      </c>
      <c r="T19" s="1">
        <f t="shared" si="28"/>
        <v>0.1075235040000002</v>
      </c>
      <c r="U19" s="2">
        <f t="shared" si="29"/>
        <v>23.941666666666659</v>
      </c>
      <c r="V19" s="2">
        <f t="shared" si="30"/>
        <v>35.05299416666665</v>
      </c>
      <c r="W19" s="2">
        <f t="shared" si="31"/>
        <v>16.352480477198728</v>
      </c>
      <c r="X19" s="1">
        <f t="shared" si="32"/>
        <v>0.15742516220640029</v>
      </c>
      <c r="Y19" s="1">
        <f t="shared" si="33"/>
        <v>0.23048617998639065</v>
      </c>
      <c r="Z19" s="1">
        <f t="shared" si="34"/>
        <v>0.1075235040000002</v>
      </c>
      <c r="AA19" s="1"/>
      <c r="AB19" s="1"/>
      <c r="AC19" s="1"/>
    </row>
    <row r="20" spans="2:29" x14ac:dyDescent="0.25">
      <c r="B20" s="4">
        <f>IF(AND(T_0/(W_0-1)&gt;B19*1.1,T_0/(W_0-1)&lt;B19*1.1^2),T_0/(W_0-1),B19*1.1)</f>
        <v>96630.6</v>
      </c>
      <c r="C20" s="4">
        <f t="shared" si="35"/>
        <v>20.936630000000001</v>
      </c>
      <c r="D20" s="4">
        <f t="shared" si="18"/>
        <v>33.718651981300006</v>
      </c>
      <c r="E20" s="2">
        <f t="shared" si="19"/>
        <v>13</v>
      </c>
      <c r="F20" s="1">
        <f t="shared" si="36"/>
        <v>2.5626435120000037E-2</v>
      </c>
      <c r="G20" s="1">
        <f t="shared" si="37"/>
        <v>4.1271630025111271E-2</v>
      </c>
      <c r="H20" s="1">
        <f t="shared" si="38"/>
        <v>1.5912000000000023E-2</v>
      </c>
      <c r="I20" s="2">
        <f>getNeutralFeeOld(baseReward,$B20,W_0)*T_0*$C20</f>
        <v>0.28730000000000022</v>
      </c>
      <c r="J20" s="2">
        <f>getNeutralFeeOld(baseReward,$B20,W_0)*T_0*$D20</f>
        <v>0.46269952300000045</v>
      </c>
      <c r="K20" s="2">
        <f>getNeutralFeeOld(baseReward,$B20,W_0)*T_0*$E20</f>
        <v>0.17839069611489541</v>
      </c>
      <c r="L20" s="2">
        <f t="shared" si="20"/>
        <v>3.2209431242967215</v>
      </c>
      <c r="M20" s="2">
        <f t="shared" si="21"/>
        <v>5.1873611111111133</v>
      </c>
      <c r="N20" s="2">
        <f t="shared" si="22"/>
        <v>1.9999522662366089</v>
      </c>
      <c r="O20" s="1">
        <f t="shared" si="23"/>
        <v>2.5626435120000037E-2</v>
      </c>
      <c r="P20" s="1">
        <f t="shared" si="24"/>
        <v>4.1271630025111271E-2</v>
      </c>
      <c r="Q20" s="1">
        <f t="shared" si="25"/>
        <v>1.5912000000000023E-2</v>
      </c>
      <c r="R20" s="1">
        <f t="shared" si="26"/>
        <v>0.19048444626974428</v>
      </c>
      <c r="S20" s="1">
        <f t="shared" si="27"/>
        <v>0.30677710556188592</v>
      </c>
      <c r="T20" s="1">
        <f t="shared" si="28"/>
        <v>0.11827585440000017</v>
      </c>
      <c r="U20" s="2">
        <f t="shared" si="29"/>
        <v>23.941666666666674</v>
      </c>
      <c r="V20" s="2">
        <f t="shared" si="30"/>
        <v>38.558293583333352</v>
      </c>
      <c r="W20" s="2">
        <f t="shared" si="31"/>
        <v>14.865891342907945</v>
      </c>
      <c r="X20" s="1">
        <f t="shared" si="32"/>
        <v>0.19048444626974428</v>
      </c>
      <c r="Y20" s="1">
        <f t="shared" si="33"/>
        <v>0.30677710556188592</v>
      </c>
      <c r="Z20" s="1">
        <f t="shared" si="34"/>
        <v>0.11827585440000017</v>
      </c>
      <c r="AA20" s="1"/>
      <c r="AB20" s="1"/>
      <c r="AC20" s="1"/>
    </row>
    <row r="21" spans="2:29" x14ac:dyDescent="0.25">
      <c r="B21" s="4">
        <f>IF(AND(T_0/(W_0-1)&gt;B20*1.1,T_0/(W_0-1)&lt;B20*1.1^2),T_0/(W_0-1),B20*1.1)</f>
        <v>106293.66000000002</v>
      </c>
      <c r="C21" s="4">
        <f t="shared" si="35"/>
        <v>23.030293000000004</v>
      </c>
      <c r="D21" s="4">
        <f t="shared" si="18"/>
        <v>40.799568897373014</v>
      </c>
      <c r="E21" s="2">
        <f t="shared" si="19"/>
        <v>13</v>
      </c>
      <c r="F21" s="1">
        <f t="shared" si="36"/>
        <v>2.8189078632000045E-2</v>
      </c>
      <c r="G21" s="1">
        <f t="shared" si="37"/>
        <v>4.993867233038464E-2</v>
      </c>
      <c r="H21" s="1">
        <f t="shared" si="38"/>
        <v>1.5912000000000023E-2</v>
      </c>
      <c r="I21" s="2">
        <f>getNeutralFeeOld(baseReward,$B21,W_0)*T_0*$C21</f>
        <v>0.28730000000000022</v>
      </c>
      <c r="J21" s="2">
        <f>getNeutralFeeOld(baseReward,$B21,W_0)*T_0*$D21</f>
        <v>0.50896947530000047</v>
      </c>
      <c r="K21" s="2">
        <f>getNeutralFeeOld(baseReward,$B21,W_0)*T_0*$E21</f>
        <v>0.16217336010445035</v>
      </c>
      <c r="L21" s="2">
        <f t="shared" si="20"/>
        <v>2.9281301129970179</v>
      </c>
      <c r="M21" s="2">
        <f t="shared" si="21"/>
        <v>5.1873611111111106</v>
      </c>
      <c r="N21" s="2">
        <f t="shared" si="22"/>
        <v>1.6528531125922377</v>
      </c>
      <c r="O21" s="1">
        <f t="shared" si="23"/>
        <v>2.8189078632000045E-2</v>
      </c>
      <c r="P21" s="1">
        <f t="shared" si="24"/>
        <v>4.993867233038464E-2</v>
      </c>
      <c r="Q21" s="1">
        <f t="shared" si="25"/>
        <v>1.5912000000000023E-2</v>
      </c>
      <c r="R21" s="1">
        <f t="shared" si="26"/>
        <v>0.23048617998639068</v>
      </c>
      <c r="S21" s="1">
        <f t="shared" si="27"/>
        <v>0.40832032750287034</v>
      </c>
      <c r="T21" s="1">
        <f t="shared" si="28"/>
        <v>0.13010343984000022</v>
      </c>
      <c r="U21" s="2">
        <f t="shared" si="29"/>
        <v>23.941666666666663</v>
      </c>
      <c r="V21" s="2">
        <f t="shared" si="30"/>
        <v>42.414122941666669</v>
      </c>
      <c r="W21" s="2">
        <f t="shared" si="31"/>
        <v>13.51444667537085</v>
      </c>
      <c r="X21" s="1">
        <f t="shared" si="32"/>
        <v>0.23048617998639068</v>
      </c>
      <c r="Y21" s="1">
        <f t="shared" si="33"/>
        <v>0.40832032750287034</v>
      </c>
      <c r="Z21" s="1">
        <f t="shared" si="34"/>
        <v>0.13010343984000022</v>
      </c>
      <c r="AA21" s="1"/>
      <c r="AB21" s="1"/>
      <c r="AC21" s="1"/>
    </row>
    <row r="22" spans="2:29" x14ac:dyDescent="0.25">
      <c r="B22" s="4">
        <f>IF(AND(T_0/(W_0-1)&gt;B21*1.1,T_0/(W_0-1)&lt;B21*1.1^2),T_0/(W_0-1),B21*1.1)</f>
        <v>116923.02600000003</v>
      </c>
      <c r="C22" s="4">
        <f t="shared" si="35"/>
        <v>25.333322300000006</v>
      </c>
      <c r="D22" s="4">
        <f t="shared" si="18"/>
        <v>49.367478365821356</v>
      </c>
      <c r="E22" s="2">
        <f t="shared" si="19"/>
        <v>13</v>
      </c>
      <c r="F22" s="1">
        <f t="shared" si="36"/>
        <v>3.1007986495200032E-2</v>
      </c>
      <c r="G22" s="1">
        <f t="shared" si="37"/>
        <v>6.0425793519765382E-2</v>
      </c>
      <c r="H22" s="1">
        <f t="shared" si="38"/>
        <v>1.5912000000000013E-2</v>
      </c>
      <c r="I22" s="2">
        <f>getNeutralFeeOld(baseReward,$B22,W_0)*T_0*$C22</f>
        <v>0.28730000000000022</v>
      </c>
      <c r="J22" s="2">
        <f>getNeutralFeeOld(baseReward,$B22,W_0)*T_0*$D22</f>
        <v>0.55986642283000065</v>
      </c>
      <c r="K22" s="2">
        <f>getNeutralFeeOld(baseReward,$B22,W_0)*T_0*$E22</f>
        <v>0.14743032736768213</v>
      </c>
      <c r="L22" s="2">
        <f t="shared" si="20"/>
        <v>2.6619364663609271</v>
      </c>
      <c r="M22" s="2">
        <f t="shared" si="21"/>
        <v>5.1873611111111151</v>
      </c>
      <c r="N22" s="2">
        <f t="shared" si="22"/>
        <v>1.3659943079274701</v>
      </c>
      <c r="O22" s="1">
        <f t="shared" si="23"/>
        <v>3.1007986495200032E-2</v>
      </c>
      <c r="P22" s="1">
        <f t="shared" si="24"/>
        <v>6.0425793519765382E-2</v>
      </c>
      <c r="Q22" s="1">
        <f t="shared" si="25"/>
        <v>1.5912000000000013E-2</v>
      </c>
      <c r="R22" s="1">
        <f t="shared" si="26"/>
        <v>0.27888827778353248</v>
      </c>
      <c r="S22" s="1">
        <f t="shared" si="27"/>
        <v>0.54347435590631998</v>
      </c>
      <c r="T22" s="1">
        <f t="shared" si="28"/>
        <v>0.14311378382400011</v>
      </c>
      <c r="U22" s="2">
        <f t="shared" si="29"/>
        <v>23.941666666666681</v>
      </c>
      <c r="V22" s="2">
        <f t="shared" si="30"/>
        <v>46.655535235833376</v>
      </c>
      <c r="W22" s="2">
        <f t="shared" si="31"/>
        <v>12.285860613973508</v>
      </c>
      <c r="X22" s="1">
        <f t="shared" si="32"/>
        <v>0.27888827778353248</v>
      </c>
      <c r="Y22" s="1">
        <f t="shared" si="33"/>
        <v>0.54347435590631998</v>
      </c>
      <c r="Z22" s="1">
        <f t="shared" si="34"/>
        <v>0.14311378382400011</v>
      </c>
      <c r="AA22" s="1"/>
      <c r="AB22" s="1"/>
      <c r="AC22" s="1"/>
    </row>
    <row r="23" spans="2:29" x14ac:dyDescent="0.25">
      <c r="B23" s="4">
        <f>IF(AND(T_0/(W_0-1)&gt;B22*1.1,T_0/(W_0-1)&lt;B22*1.1^2),T_0/(W_0-1),B22*1.1)</f>
        <v>128615.32860000004</v>
      </c>
      <c r="C23" s="4">
        <f t="shared" si="35"/>
        <v>27.866654530000009</v>
      </c>
      <c r="D23" s="4">
        <f t="shared" si="18"/>
        <v>59.734648822643848</v>
      </c>
      <c r="E23" s="2">
        <f t="shared" si="19"/>
        <v>13</v>
      </c>
      <c r="F23" s="1">
        <f t="shared" si="36"/>
        <v>3.410878514472003E-2</v>
      </c>
      <c r="G23" s="1">
        <f t="shared" si="37"/>
        <v>7.3115210158916116E-2</v>
      </c>
      <c r="H23" s="1">
        <f t="shared" si="38"/>
        <v>1.5912000000000009E-2</v>
      </c>
      <c r="I23" s="2">
        <f>getNeutralFeeOld(baseReward,$B23,W_0)*T_0*$C23</f>
        <v>0.28730000000000028</v>
      </c>
      <c r="J23" s="2">
        <f>getNeutralFeeOld(baseReward,$B23,W_0)*T_0*$D23</f>
        <v>0.61585306511300075</v>
      </c>
      <c r="K23" s="2">
        <f>getNeutralFeeOld(baseReward,$B23,W_0)*T_0*$E23</f>
        <v>0.1340275703342565</v>
      </c>
      <c r="L23" s="2">
        <f t="shared" si="20"/>
        <v>2.4199422421462979</v>
      </c>
      <c r="M23" s="2">
        <f t="shared" si="21"/>
        <v>5.187361111111116</v>
      </c>
      <c r="N23" s="2">
        <f t="shared" si="22"/>
        <v>1.1289209156425373</v>
      </c>
      <c r="O23" s="1">
        <f t="shared" si="23"/>
        <v>3.410878514472003E-2</v>
      </c>
      <c r="P23" s="1">
        <f t="shared" si="24"/>
        <v>7.3115210158916116E-2</v>
      </c>
      <c r="Q23" s="1">
        <f t="shared" si="25"/>
        <v>1.5912000000000009E-2</v>
      </c>
      <c r="R23" s="1">
        <f t="shared" si="26"/>
        <v>0.33745481611807437</v>
      </c>
      <c r="S23" s="1">
        <f t="shared" si="27"/>
        <v>0.72336436771131207</v>
      </c>
      <c r="T23" s="1">
        <f t="shared" si="28"/>
        <v>0.15742516220640013</v>
      </c>
      <c r="U23" s="2">
        <f t="shared" si="29"/>
        <v>23.941666666666691</v>
      </c>
      <c r="V23" s="2">
        <f t="shared" si="30"/>
        <v>51.321088759416732</v>
      </c>
      <c r="W23" s="2">
        <f t="shared" si="31"/>
        <v>11.168964194521374</v>
      </c>
      <c r="X23" s="1">
        <f t="shared" si="32"/>
        <v>0.33745481611807437</v>
      </c>
      <c r="Y23" s="1">
        <f t="shared" si="33"/>
        <v>0.72336436771131207</v>
      </c>
      <c r="Z23" s="1">
        <f t="shared" si="34"/>
        <v>0.15742516220640013</v>
      </c>
      <c r="AA23" s="1"/>
      <c r="AB23" s="1"/>
      <c r="AC23" s="1"/>
    </row>
    <row r="24" spans="2:29" x14ac:dyDescent="0.25">
      <c r="B24" s="4">
        <f>IF(AND(T_0/(W_0-1)&gt;B23*1.1,T_0/(W_0-1)&lt;B23*1.1^2),T_0/(W_0-1),B23*1.1)</f>
        <v>141476.86146000004</v>
      </c>
      <c r="C24" s="4">
        <f t="shared" si="35"/>
        <v>30.653319983000006</v>
      </c>
      <c r="D24" s="4">
        <f t="shared" si="18"/>
        <v>72.278925075399044</v>
      </c>
      <c r="E24" s="2">
        <f t="shared" si="19"/>
        <v>13</v>
      </c>
      <c r="F24" s="1">
        <f t="shared" si="36"/>
        <v>3.7519663659192105E-2</v>
      </c>
      <c r="G24" s="1">
        <f t="shared" si="37"/>
        <v>8.8469404292288653E-2</v>
      </c>
      <c r="H24" s="1">
        <f t="shared" si="38"/>
        <v>1.5912000000000041E-2</v>
      </c>
      <c r="I24" s="2">
        <f>getNeutralFeeOld(baseReward,$B24,W_0)*T_0*$C24</f>
        <v>0.28730000000000022</v>
      </c>
      <c r="J24" s="2">
        <f>getNeutralFeeOld(baseReward,$B24,W_0)*T_0*$D24</f>
        <v>0.67743837162430065</v>
      </c>
      <c r="K24" s="2">
        <f>getNeutralFeeOld(baseReward,$B24,W_0)*T_0*$E24</f>
        <v>0.12184324575841499</v>
      </c>
      <c r="L24" s="2">
        <f t="shared" si="20"/>
        <v>2.1999474928602663</v>
      </c>
      <c r="M24" s="2">
        <f t="shared" si="21"/>
        <v>5.1873611111111053</v>
      </c>
      <c r="N24" s="2">
        <f t="shared" si="22"/>
        <v>0.93299249226655812</v>
      </c>
      <c r="O24" s="1">
        <f t="shared" si="23"/>
        <v>3.7519663659192105E-2</v>
      </c>
      <c r="P24" s="1">
        <f t="shared" si="24"/>
        <v>8.8469404292288653E-2</v>
      </c>
      <c r="Q24" s="1">
        <f t="shared" si="25"/>
        <v>1.5912000000000041E-2</v>
      </c>
      <c r="R24" s="1">
        <f t="shared" si="26"/>
        <v>0.40832032750287073</v>
      </c>
      <c r="S24" s="1">
        <f t="shared" si="27"/>
        <v>0.96279797342375806</v>
      </c>
      <c r="T24" s="1">
        <f t="shared" si="28"/>
        <v>0.17316767842704048</v>
      </c>
      <c r="U24" s="2">
        <f t="shared" si="29"/>
        <v>23.941666666666642</v>
      </c>
      <c r="V24" s="2">
        <f t="shared" si="30"/>
        <v>56.453197635358286</v>
      </c>
      <c r="W24" s="2">
        <f t="shared" si="31"/>
        <v>10.153603813201229</v>
      </c>
      <c r="X24" s="1">
        <f t="shared" si="32"/>
        <v>0.40832032750287073</v>
      </c>
      <c r="Y24" s="1">
        <f t="shared" si="33"/>
        <v>0.96279797342375806</v>
      </c>
      <c r="Z24" s="1">
        <f t="shared" si="34"/>
        <v>0.17316767842704048</v>
      </c>
      <c r="AA24" s="1"/>
      <c r="AB24" s="1"/>
      <c r="AC24" s="1"/>
    </row>
    <row r="25" spans="2:29" x14ac:dyDescent="0.25">
      <c r="B25" s="4">
        <f>IF(AND(T_0/(W_0-1)&gt;B24*1.1,T_0/(W_0-1)&lt;B24*1.1^2),T_0/(W_0-1),B24*1.1)</f>
        <v>155624.54760600007</v>
      </c>
      <c r="C25" s="4">
        <f t="shared" si="35"/>
        <v>33.718651981300013</v>
      </c>
      <c r="D25" s="4">
        <f t="shared" si="18"/>
        <v>87.457499341232875</v>
      </c>
      <c r="E25" s="2">
        <f t="shared" si="19"/>
        <v>13</v>
      </c>
      <c r="F25" s="1">
        <f t="shared" si="36"/>
        <v>4.1271630025111299E-2</v>
      </c>
      <c r="G25" s="1">
        <f t="shared" si="37"/>
        <v>0.10704797919366925</v>
      </c>
      <c r="H25" s="1">
        <f t="shared" si="38"/>
        <v>1.591200000000003E-2</v>
      </c>
      <c r="I25" s="2">
        <f>getNeutralFeeOld(baseReward,$B25,W_0)*T_0*$C25</f>
        <v>0.28730000000000028</v>
      </c>
      <c r="J25" s="2">
        <f>getNeutralFeeOld(baseReward,$B25,W_0)*T_0*$D25</f>
        <v>0.74518220878673103</v>
      </c>
      <c r="K25" s="2">
        <f>getNeutralFeeOld(baseReward,$B25,W_0)*T_0*$E25</f>
        <v>0.11076658705310452</v>
      </c>
      <c r="L25" s="2">
        <f t="shared" si="20"/>
        <v>1.999952266236608</v>
      </c>
      <c r="M25" s="2">
        <f t="shared" si="21"/>
        <v>5.1873611111111124</v>
      </c>
      <c r="N25" s="2">
        <f t="shared" si="22"/>
        <v>0.7710681754269082</v>
      </c>
      <c r="O25" s="1">
        <f t="shared" si="23"/>
        <v>4.1271630025111299E-2</v>
      </c>
      <c r="P25" s="1">
        <f t="shared" si="24"/>
        <v>0.10704797919366925</v>
      </c>
      <c r="Q25" s="1">
        <f t="shared" si="25"/>
        <v>1.591200000000003E-2</v>
      </c>
      <c r="R25" s="1">
        <f t="shared" si="26"/>
        <v>0.49406759627847346</v>
      </c>
      <c r="S25" s="1">
        <f t="shared" si="27"/>
        <v>1.2814841026270218</v>
      </c>
      <c r="T25" s="1">
        <f t="shared" si="28"/>
        <v>0.19048444626974445</v>
      </c>
      <c r="U25" s="2">
        <f t="shared" si="29"/>
        <v>23.941666666666666</v>
      </c>
      <c r="V25" s="2">
        <f t="shared" si="30"/>
        <v>62.098517398894195</v>
      </c>
      <c r="W25" s="2">
        <f t="shared" si="31"/>
        <v>9.2305489210920353</v>
      </c>
      <c r="X25" s="1">
        <f t="shared" si="32"/>
        <v>0.49406759627847346</v>
      </c>
      <c r="Y25" s="1">
        <f t="shared" si="33"/>
        <v>1.2814841026270218</v>
      </c>
      <c r="Z25" s="1">
        <f t="shared" si="34"/>
        <v>0.19048444626974445</v>
      </c>
      <c r="AA25" s="1"/>
      <c r="AB25" s="1"/>
      <c r="AC25" s="1"/>
    </row>
    <row r="26" spans="2:29" x14ac:dyDescent="0.25">
      <c r="B26" s="4">
        <f>IF(AND(T_0/(W_0-1)&gt;B25*1.1,T_0/(W_0-1)&lt;B25*1.1^2),T_0/(W_0-1),B25*1.1)</f>
        <v>171187.00236660009</v>
      </c>
      <c r="C26" s="4">
        <f t="shared" si="35"/>
        <v>37.090517179430023</v>
      </c>
      <c r="D26" s="4">
        <f t="shared" si="18"/>
        <v>105.82357420289181</v>
      </c>
      <c r="E26" s="2">
        <f t="shared" si="19"/>
        <v>13</v>
      </c>
      <c r="F26" s="1">
        <f t="shared" si="36"/>
        <v>4.5398793027622425E-2</v>
      </c>
      <c r="G26" s="1">
        <f t="shared" si="37"/>
        <v>0.12952805482433979</v>
      </c>
      <c r="H26" s="1">
        <f t="shared" si="38"/>
        <v>1.5912000000000027E-2</v>
      </c>
      <c r="I26" s="2">
        <f>getNeutralFeeOld(baseReward,$B26,W_0)*T_0*$C26</f>
        <v>0.28730000000000028</v>
      </c>
      <c r="J26" s="2">
        <f>getNeutralFeeOld(baseReward,$B26,W_0)*T_0*$D26</f>
        <v>0.81970042966540424</v>
      </c>
      <c r="K26" s="2">
        <f>getNeutralFeeOld(baseReward,$B26,W_0)*T_0*$E26</f>
        <v>0.10069689732100411</v>
      </c>
      <c r="L26" s="2">
        <f t="shared" si="20"/>
        <v>1.8181384238514617</v>
      </c>
      <c r="M26" s="2">
        <f t="shared" si="21"/>
        <v>5.1873611111111124</v>
      </c>
      <c r="N26" s="2">
        <f t="shared" si="22"/>
        <v>0.63724642597265124</v>
      </c>
      <c r="O26" s="1">
        <f t="shared" si="23"/>
        <v>4.5398793027622425E-2</v>
      </c>
      <c r="P26" s="1">
        <f t="shared" si="24"/>
        <v>0.12952805482433979</v>
      </c>
      <c r="Q26" s="1">
        <f t="shared" si="25"/>
        <v>1.5912000000000027E-2</v>
      </c>
      <c r="R26" s="1">
        <f t="shared" si="26"/>
        <v>0.59782179149695291</v>
      </c>
      <c r="S26" s="1">
        <f t="shared" si="27"/>
        <v>1.7056553405965664</v>
      </c>
      <c r="T26" s="1">
        <f t="shared" si="28"/>
        <v>0.20953289089671887</v>
      </c>
      <c r="U26" s="2">
        <f t="shared" si="29"/>
        <v>23.941666666666674</v>
      </c>
      <c r="V26" s="2">
        <f t="shared" si="30"/>
        <v>68.308369138783632</v>
      </c>
      <c r="W26" s="2">
        <f t="shared" si="31"/>
        <v>8.3914081100836686</v>
      </c>
      <c r="X26" s="1">
        <f t="shared" si="32"/>
        <v>0.59782179149695291</v>
      </c>
      <c r="Y26" s="1">
        <f t="shared" si="33"/>
        <v>1.7056553405965664</v>
      </c>
      <c r="Z26" s="1">
        <f t="shared" si="34"/>
        <v>0.20953289089671887</v>
      </c>
      <c r="AA26" s="1"/>
      <c r="AB26" s="1"/>
      <c r="AC26" s="1"/>
    </row>
    <row r="27" spans="2:29" x14ac:dyDescent="0.25">
      <c r="B27" s="4">
        <f>IF(AND(T_0/(W_0-1)&gt;B26*1.1,T_0/(W_0-1)&lt;B26*1.1^2),T_0/(W_0-1),B26*1.1)</f>
        <v>188305.70260326011</v>
      </c>
      <c r="C27" s="4">
        <f t="shared" si="35"/>
        <v>40.799568897373021</v>
      </c>
      <c r="D27" s="4">
        <f t="shared" si="18"/>
        <v>128.04652478549909</v>
      </c>
      <c r="E27" s="2">
        <f t="shared" si="19"/>
        <v>13</v>
      </c>
      <c r="F27" s="1">
        <f t="shared" si="36"/>
        <v>4.9938672330384667E-2</v>
      </c>
      <c r="G27" s="1">
        <f t="shared" si="37"/>
        <v>0.15672894633745116</v>
      </c>
      <c r="H27" s="1">
        <f t="shared" si="38"/>
        <v>1.591200000000003E-2</v>
      </c>
      <c r="I27" s="2">
        <f>getNeutralFeeOld(baseReward,$B27,W_0)*T_0*$C27</f>
        <v>0.28730000000000028</v>
      </c>
      <c r="J27" s="2">
        <f>getNeutralFeeOld(baseReward,$B27,W_0)*T_0*$D27</f>
        <v>0.90167047263194466</v>
      </c>
      <c r="K27" s="2">
        <f>getNeutralFeeOld(baseReward,$B27,W_0)*T_0*$E27</f>
        <v>9.1542633928185554E-2</v>
      </c>
      <c r="L27" s="2">
        <f t="shared" si="20"/>
        <v>1.6528531125922372</v>
      </c>
      <c r="M27" s="2">
        <f t="shared" si="21"/>
        <v>5.1873611111111106</v>
      </c>
      <c r="N27" s="2">
        <f t="shared" si="22"/>
        <v>0.52664993882037281</v>
      </c>
      <c r="O27" s="1">
        <f t="shared" si="23"/>
        <v>4.9938672330384667E-2</v>
      </c>
      <c r="P27" s="1">
        <f t="shared" si="24"/>
        <v>0.15672894633745116</v>
      </c>
      <c r="Q27" s="1">
        <f t="shared" si="25"/>
        <v>1.591200000000003E-2</v>
      </c>
      <c r="R27" s="1">
        <f t="shared" si="26"/>
        <v>0.72336436771131307</v>
      </c>
      <c r="S27" s="1">
        <f t="shared" si="27"/>
        <v>2.2702272583340304</v>
      </c>
      <c r="T27" s="1">
        <f t="shared" si="28"/>
        <v>0.23048617998639079</v>
      </c>
      <c r="U27" s="2">
        <f t="shared" si="29"/>
        <v>23.941666666666663</v>
      </c>
      <c r="V27" s="2">
        <f t="shared" si="30"/>
        <v>75.139206052661976</v>
      </c>
      <c r="W27" s="2">
        <f t="shared" si="31"/>
        <v>7.6285528273487877</v>
      </c>
      <c r="X27" s="1">
        <f t="shared" si="32"/>
        <v>0.72336436771131307</v>
      </c>
      <c r="Y27" s="1">
        <f t="shared" si="33"/>
        <v>2.2702272583340304</v>
      </c>
      <c r="Z27" s="1">
        <f t="shared" si="34"/>
        <v>0.23048617998639079</v>
      </c>
      <c r="AA27" s="1"/>
      <c r="AB27" s="1"/>
      <c r="AC27" s="1"/>
    </row>
    <row r="28" spans="2:29" x14ac:dyDescent="0.25">
      <c r="B28" s="4">
        <f>IF(AND(T_0/(W_0-1)&gt;B27*1.1,T_0/(W_0-1)&lt;B27*1.1^2),T_0/(W_0-1),B27*1.1)</f>
        <v>207136.27286358614</v>
      </c>
      <c r="C28" s="4">
        <f t="shared" si="35"/>
        <v>44.879525787110332</v>
      </c>
      <c r="D28" s="4">
        <f t="shared" si="18"/>
        <v>154.93629499045394</v>
      </c>
      <c r="E28" s="2">
        <f t="shared" si="19"/>
        <v>13</v>
      </c>
      <c r="F28" s="1">
        <f t="shared" si="36"/>
        <v>5.4932539563423165E-2</v>
      </c>
      <c r="G28" s="1">
        <f t="shared" si="37"/>
        <v>0.18964202506831604</v>
      </c>
      <c r="H28" s="1">
        <f t="shared" si="38"/>
        <v>1.5912000000000034E-2</v>
      </c>
      <c r="I28" s="2">
        <f>getNeutralFeeOld(baseReward,$B28,W_0)*T_0*$C28</f>
        <v>0.28730000000000022</v>
      </c>
      <c r="J28" s="2">
        <f>getNeutralFeeOld(baseReward,$B28,W_0)*T_0*$D28</f>
        <v>0.99183751989513913</v>
      </c>
      <c r="K28" s="2">
        <f>getNeutralFeeOld(baseReward,$B28,W_0)*T_0*$E28</f>
        <v>8.3220576298350474E-2</v>
      </c>
      <c r="L28" s="2">
        <f t="shared" si="20"/>
        <v>1.5025937387202148</v>
      </c>
      <c r="M28" s="2">
        <f t="shared" si="21"/>
        <v>5.187361111111108</v>
      </c>
      <c r="N28" s="2">
        <f t="shared" si="22"/>
        <v>0.43524788332262176</v>
      </c>
      <c r="O28" s="1">
        <f t="shared" si="23"/>
        <v>5.4932539563423165E-2</v>
      </c>
      <c r="P28" s="1">
        <f t="shared" si="24"/>
        <v>0.18964202506831604</v>
      </c>
      <c r="Q28" s="1">
        <f t="shared" si="25"/>
        <v>1.5912000000000034E-2</v>
      </c>
      <c r="R28" s="1">
        <f t="shared" si="26"/>
        <v>0.8752708849306895</v>
      </c>
      <c r="S28" s="1">
        <f t="shared" si="27"/>
        <v>3.021672480842597</v>
      </c>
      <c r="T28" s="1">
        <f t="shared" si="28"/>
        <v>0.25353479798503004</v>
      </c>
      <c r="U28" s="2">
        <f t="shared" si="29"/>
        <v>23.941666666666652</v>
      </c>
      <c r="V28" s="2">
        <f t="shared" si="30"/>
        <v>82.653126657928141</v>
      </c>
      <c r="W28" s="2">
        <f t="shared" si="31"/>
        <v>6.9350480248625299</v>
      </c>
      <c r="X28" s="1">
        <f t="shared" si="32"/>
        <v>0.8752708849306895</v>
      </c>
      <c r="Y28" s="1">
        <f t="shared" si="33"/>
        <v>3.021672480842597</v>
      </c>
      <c r="Z28" s="1">
        <f t="shared" si="34"/>
        <v>0.25353479798503004</v>
      </c>
      <c r="AA28" s="1"/>
      <c r="AB28" s="1"/>
      <c r="AC28" s="1"/>
    </row>
    <row r="29" spans="2:29" x14ac:dyDescent="0.25">
      <c r="B29" s="4">
        <f>IF(AND(T_0/(W_0-1)&gt;B28*1.1,T_0/(W_0-1)&lt;B28*1.1^2),T_0/(W_0-1),B28*1.1)</f>
        <v>227849.90014994476</v>
      </c>
      <c r="C29" s="4">
        <f t="shared" si="35"/>
        <v>49.367478365821363</v>
      </c>
      <c r="D29" s="4">
        <f t="shared" si="18"/>
        <v>187.47291693844926</v>
      </c>
      <c r="E29" s="2">
        <f t="shared" si="19"/>
        <v>13</v>
      </c>
      <c r="F29" s="1">
        <f t="shared" si="36"/>
        <v>6.0425793519765444E-2</v>
      </c>
      <c r="G29" s="1">
        <f t="shared" si="37"/>
        <v>0.22946685033266226</v>
      </c>
      <c r="H29" s="1">
        <f t="shared" si="38"/>
        <v>1.5912000000000027E-2</v>
      </c>
      <c r="I29" s="2">
        <f>getNeutralFeeOld(baseReward,$B29,W_0)*T_0*$C29</f>
        <v>0.28730000000000022</v>
      </c>
      <c r="J29" s="2">
        <f>getNeutralFeeOld(baseReward,$B29,W_0)*T_0*$D29</f>
        <v>1.091021271884653</v>
      </c>
      <c r="K29" s="2">
        <f>getNeutralFeeOld(baseReward,$B29,W_0)*T_0*$E29</f>
        <v>7.5655069362136798E-2</v>
      </c>
      <c r="L29" s="2">
        <f t="shared" si="20"/>
        <v>1.3659943079274683</v>
      </c>
      <c r="M29" s="2">
        <f t="shared" si="21"/>
        <v>5.1873611111111089</v>
      </c>
      <c r="N29" s="2">
        <f t="shared" si="22"/>
        <v>0.35970899448150567</v>
      </c>
      <c r="O29" s="1">
        <f t="shared" si="23"/>
        <v>6.0425793519765444E-2</v>
      </c>
      <c r="P29" s="1">
        <f t="shared" si="24"/>
        <v>0.22946685033266226</v>
      </c>
      <c r="Q29" s="1">
        <f t="shared" si="25"/>
        <v>1.5912000000000027E-2</v>
      </c>
      <c r="R29" s="1">
        <f t="shared" si="26"/>
        <v>1.0590777707661336</v>
      </c>
      <c r="S29" s="1">
        <f t="shared" si="27"/>
        <v>4.0218460720014937</v>
      </c>
      <c r="T29" s="1">
        <f t="shared" si="28"/>
        <v>0.27888827778353287</v>
      </c>
      <c r="U29" s="2">
        <f t="shared" si="29"/>
        <v>23.941666666666656</v>
      </c>
      <c r="V29" s="2">
        <f t="shared" si="30"/>
        <v>90.918439323720975</v>
      </c>
      <c r="W29" s="2">
        <f t="shared" si="31"/>
        <v>6.3045891135113923</v>
      </c>
      <c r="X29" s="1">
        <f t="shared" si="32"/>
        <v>1.0590777707661336</v>
      </c>
      <c r="Y29" s="1">
        <f t="shared" si="33"/>
        <v>4.0218460720014937</v>
      </c>
      <c r="Z29" s="1">
        <f t="shared" si="34"/>
        <v>0.27888827778353287</v>
      </c>
      <c r="AA29" s="1"/>
      <c r="AB29" s="1"/>
      <c r="AC29" s="1"/>
    </row>
    <row r="30" spans="2:29" x14ac:dyDescent="0.25">
      <c r="B30" s="4">
        <f>IF(AND(T_0/(W_0-1)&gt;B29*1.1,T_0/(W_0-1)&lt;B29*1.1^2),T_0/(W_0-1),B29*1.1)</f>
        <v>250634.89016493925</v>
      </c>
      <c r="C30" s="4">
        <f t="shared" si="35"/>
        <v>54.304226202403505</v>
      </c>
      <c r="D30" s="4">
        <f t="shared" si="18"/>
        <v>226.8422294955237</v>
      </c>
      <c r="E30" s="2">
        <f t="shared" si="19"/>
        <v>13</v>
      </c>
      <c r="F30" s="1">
        <f t="shared" si="36"/>
        <v>6.646837287174194E-2</v>
      </c>
      <c r="G30" s="1">
        <f t="shared" si="37"/>
        <v>0.27765488890252121</v>
      </c>
      <c r="H30" s="1">
        <f t="shared" si="38"/>
        <v>1.5912000000000013E-2</v>
      </c>
      <c r="I30" s="2">
        <f>getNeutralFeeOld(baseReward,$B30,W_0)*T_0*$C30</f>
        <v>0.28730000000000028</v>
      </c>
      <c r="J30" s="2">
        <f>getNeutralFeeOld(baseReward,$B30,W_0)*T_0*$D30</f>
        <v>1.2001233990731188</v>
      </c>
      <c r="K30" s="2">
        <f>getNeutralFeeOld(baseReward,$B30,W_0)*T_0*$E30</f>
        <v>6.8777335783760732E-2</v>
      </c>
      <c r="L30" s="2">
        <f t="shared" si="20"/>
        <v>1.2418130072067906</v>
      </c>
      <c r="M30" s="2">
        <f t="shared" si="21"/>
        <v>5.187361111111116</v>
      </c>
      <c r="N30" s="2">
        <f t="shared" si="22"/>
        <v>0.29728016072851737</v>
      </c>
      <c r="O30" s="1">
        <f t="shared" si="23"/>
        <v>6.646837287174194E-2</v>
      </c>
      <c r="P30" s="1">
        <f t="shared" si="24"/>
        <v>0.27765488890252121</v>
      </c>
      <c r="Q30" s="1">
        <f t="shared" si="25"/>
        <v>1.5912000000000013E-2</v>
      </c>
      <c r="R30" s="1">
        <f t="shared" si="26"/>
        <v>1.2814841026270205</v>
      </c>
      <c r="S30" s="1">
        <f t="shared" si="27"/>
        <v>5.3530771218339854</v>
      </c>
      <c r="T30" s="1">
        <f t="shared" si="28"/>
        <v>0.30677710556188587</v>
      </c>
      <c r="U30" s="2">
        <f t="shared" si="29"/>
        <v>23.941666666666681</v>
      </c>
      <c r="V30" s="2">
        <f t="shared" si="30"/>
        <v>100.0102832560932</v>
      </c>
      <c r="W30" s="2">
        <f t="shared" si="31"/>
        <v>5.7314446486467254</v>
      </c>
      <c r="X30" s="1">
        <f t="shared" si="32"/>
        <v>1.2814841026270205</v>
      </c>
      <c r="Y30" s="1">
        <f t="shared" si="33"/>
        <v>5.3530771218339854</v>
      </c>
      <c r="Z30" s="1">
        <f t="shared" si="34"/>
        <v>0.30677710556188587</v>
      </c>
      <c r="AA30" s="1"/>
      <c r="AB30" s="1"/>
      <c r="AC30" s="1"/>
    </row>
    <row r="31" spans="2:29" x14ac:dyDescent="0.25">
      <c r="B31" s="4">
        <f>IF(AND(T_0/(W_0-1)&gt;B30*1.1,T_0/(W_0-1)&lt;B30*1.1^2),T_0/(W_0-1),B30*1.1)</f>
        <v>275698.37918143318</v>
      </c>
      <c r="C31" s="4">
        <f t="shared" si="35"/>
        <v>59.734648822643848</v>
      </c>
      <c r="D31" s="4">
        <f t="shared" si="18"/>
        <v>274.47909768958357</v>
      </c>
      <c r="E31" s="2">
        <f t="shared" si="19"/>
        <v>13</v>
      </c>
      <c r="F31" s="1">
        <f t="shared" si="36"/>
        <v>7.3115210158916144E-2</v>
      </c>
      <c r="G31" s="1">
        <f t="shared" si="37"/>
        <v>0.33596241557205059</v>
      </c>
      <c r="H31" s="1">
        <f t="shared" si="38"/>
        <v>1.5912000000000016E-2</v>
      </c>
      <c r="I31" s="2">
        <f>getNeutralFeeOld(baseReward,$B31,W_0)*T_0*$C31</f>
        <v>0.28730000000000022</v>
      </c>
      <c r="J31" s="2">
        <f>getNeutralFeeOld(baseReward,$B31,W_0)*T_0*$D31</f>
        <v>1.3201357389804302</v>
      </c>
      <c r="K31" s="2">
        <f>getNeutralFeeOld(baseReward,$B31,W_0)*T_0*$E31</f>
        <v>6.2524850712509752E-2</v>
      </c>
      <c r="L31" s="2">
        <f t="shared" si="20"/>
        <v>1.1289209156425366</v>
      </c>
      <c r="M31" s="2">
        <f t="shared" si="21"/>
        <v>5.1873611111111133</v>
      </c>
      <c r="N31" s="2">
        <f t="shared" si="22"/>
        <v>0.24568608324670854</v>
      </c>
      <c r="O31" s="1">
        <f t="shared" si="23"/>
        <v>7.3115210158916144E-2</v>
      </c>
      <c r="P31" s="1">
        <f t="shared" si="24"/>
        <v>0.33596241557205059</v>
      </c>
      <c r="Q31" s="1">
        <f t="shared" si="25"/>
        <v>1.5912000000000016E-2</v>
      </c>
      <c r="R31" s="1">
        <f t="shared" si="26"/>
        <v>1.5505957641786952</v>
      </c>
      <c r="S31" s="1">
        <f t="shared" si="27"/>
        <v>7.1249456491610337</v>
      </c>
      <c r="T31" s="1">
        <f t="shared" si="28"/>
        <v>0.33745481611807454</v>
      </c>
      <c r="U31" s="2">
        <f t="shared" si="29"/>
        <v>23.941666666666677</v>
      </c>
      <c r="V31" s="2">
        <f t="shared" si="30"/>
        <v>110.01131158170249</v>
      </c>
      <c r="W31" s="2">
        <f t="shared" si="31"/>
        <v>5.2104042260424777</v>
      </c>
      <c r="X31" s="1">
        <f t="shared" si="32"/>
        <v>1.5505957641786952</v>
      </c>
      <c r="Y31" s="1">
        <f t="shared" si="33"/>
        <v>7.1249456491610337</v>
      </c>
      <c r="Z31" s="1">
        <f t="shared" si="34"/>
        <v>0.33745481611807454</v>
      </c>
      <c r="AA31" s="1"/>
      <c r="AB31" s="1"/>
      <c r="AC31" s="1"/>
    </row>
    <row r="32" spans="2:29" x14ac:dyDescent="0.25">
      <c r="B32" s="4">
        <f>IF(AND(T_0/(W_0-1)&gt;B31*1.1,T_0/(W_0-1)&lt;B31*1.1^2),T_0/(W_0-1),B31*1.1)</f>
        <v>303268.21709957655</v>
      </c>
      <c r="C32" s="4">
        <f t="shared" si="35"/>
        <v>65.708113704908257</v>
      </c>
      <c r="D32" s="4">
        <f t="shared" si="18"/>
        <v>332.11970820439626</v>
      </c>
      <c r="E32" s="2">
        <f t="shared" si="19"/>
        <v>13</v>
      </c>
      <c r="F32" s="1">
        <f t="shared" si="36"/>
        <v>8.0426731174807822E-2</v>
      </c>
      <c r="G32" s="1">
        <f t="shared" si="37"/>
        <v>0.40651452284218159</v>
      </c>
      <c r="H32" s="1">
        <f t="shared" si="38"/>
        <v>1.5912000000000023E-2</v>
      </c>
      <c r="I32" s="2">
        <f>getNeutralFeeOld(baseReward,$B32,W_0)*T_0*$C32</f>
        <v>0.28730000000000028</v>
      </c>
      <c r="J32" s="2">
        <f>getNeutralFeeOld(baseReward,$B32,W_0)*T_0*$D32</f>
        <v>1.4521493128784735</v>
      </c>
      <c r="K32" s="2">
        <f>getNeutralFeeOld(baseReward,$B32,W_0)*T_0*$E32</f>
        <v>5.6840773375008855E-2</v>
      </c>
      <c r="L32" s="2">
        <f t="shared" si="20"/>
        <v>1.0262917414932149</v>
      </c>
      <c r="M32" s="2">
        <f t="shared" si="21"/>
        <v>5.1873611111111124</v>
      </c>
      <c r="N32" s="2">
        <f t="shared" si="22"/>
        <v>0.20304634979066807</v>
      </c>
      <c r="O32" s="1">
        <f t="shared" si="23"/>
        <v>8.0426731174807822E-2</v>
      </c>
      <c r="P32" s="1">
        <f t="shared" si="24"/>
        <v>0.40651452284218159</v>
      </c>
      <c r="Q32" s="1">
        <f t="shared" si="25"/>
        <v>1.5912000000000023E-2</v>
      </c>
      <c r="R32" s="1">
        <f t="shared" si="26"/>
        <v>1.8762208746562232</v>
      </c>
      <c r="S32" s="1">
        <f t="shared" si="27"/>
        <v>9.4833026590333471</v>
      </c>
      <c r="T32" s="1">
        <f t="shared" si="28"/>
        <v>0.37120029772988228</v>
      </c>
      <c r="U32" s="2">
        <f t="shared" si="29"/>
        <v>23.941666666666677</v>
      </c>
      <c r="V32" s="2">
        <f t="shared" si="30"/>
        <v>121.01244273987272</v>
      </c>
      <c r="W32" s="2">
        <f t="shared" si="31"/>
        <v>4.7367311145840683</v>
      </c>
      <c r="X32" s="1">
        <f t="shared" si="32"/>
        <v>1.8762208746562232</v>
      </c>
      <c r="Y32" s="1">
        <f t="shared" si="33"/>
        <v>9.4833026590333471</v>
      </c>
      <c r="Z32" s="1">
        <f t="shared" si="34"/>
        <v>0.37120029772988228</v>
      </c>
      <c r="AA32" s="1"/>
      <c r="AB32" s="1"/>
      <c r="AC32" s="1"/>
    </row>
    <row r="33" spans="2:52" x14ac:dyDescent="0.25">
      <c r="B33" s="4">
        <f>IF(AND(T_0/(W_0-1)&gt;B32*1.1,T_0/(W_0-1)&lt;B32*1.1^2),T_0/(W_0-1),B32*1.1)</f>
        <v>333595.03880953422</v>
      </c>
      <c r="C33" s="4">
        <f t="shared" si="35"/>
        <v>72.278925075399087</v>
      </c>
      <c r="D33" s="4">
        <f t="shared" si="18"/>
        <v>401.86484692731955</v>
      </c>
      <c r="E33" s="2">
        <f t="shared" si="19"/>
        <v>13</v>
      </c>
      <c r="F33" s="1">
        <f t="shared" si="36"/>
        <v>8.8469404292288473E-2</v>
      </c>
      <c r="G33" s="1">
        <f t="shared" si="37"/>
        <v>0.49188257263903906</v>
      </c>
      <c r="H33" s="1">
        <f t="shared" si="38"/>
        <v>1.5911999999999999E-2</v>
      </c>
      <c r="I33" s="2">
        <f>getNeutralFeeOld(baseReward,$B33,W_0)*T_0*$C33</f>
        <v>0.28730000000000028</v>
      </c>
      <c r="J33" s="2">
        <f>getNeutralFeeOld(baseReward,$B33,W_0)*T_0*$D33</f>
        <v>1.5973642441663212</v>
      </c>
      <c r="K33" s="2">
        <f>getNeutralFeeOld(baseReward,$B33,W_0)*T_0*$E33</f>
        <v>5.1673430340917134E-2</v>
      </c>
      <c r="L33" s="2">
        <f t="shared" si="20"/>
        <v>0.93299249226656045</v>
      </c>
      <c r="M33" s="2">
        <f t="shared" si="21"/>
        <v>5.1873611111111204</v>
      </c>
      <c r="N33" s="2">
        <f t="shared" si="22"/>
        <v>0.16780690065344495</v>
      </c>
      <c r="O33" s="1">
        <f t="shared" si="23"/>
        <v>8.8469404292288473E-2</v>
      </c>
      <c r="P33" s="1">
        <f t="shared" si="24"/>
        <v>0.49188257263903906</v>
      </c>
      <c r="Q33" s="1">
        <f t="shared" si="25"/>
        <v>1.5911999999999999E-2</v>
      </c>
      <c r="R33" s="1">
        <f t="shared" si="26"/>
        <v>2.2702272583340264</v>
      </c>
      <c r="S33" s="1">
        <f t="shared" si="27"/>
        <v>12.622275839173367</v>
      </c>
      <c r="T33" s="1">
        <f t="shared" si="28"/>
        <v>0.40832032750286984</v>
      </c>
      <c r="U33" s="2">
        <f t="shared" si="29"/>
        <v>23.941666666666709</v>
      </c>
      <c r="V33" s="2">
        <f t="shared" si="30"/>
        <v>133.11368701386021</v>
      </c>
      <c r="W33" s="2">
        <f t="shared" si="31"/>
        <v>4.3061191950764321</v>
      </c>
      <c r="X33" s="1">
        <f t="shared" si="32"/>
        <v>2.2702272583340264</v>
      </c>
      <c r="Y33" s="1">
        <f t="shared" si="33"/>
        <v>12.622275839173367</v>
      </c>
      <c r="Z33" s="1">
        <f t="shared" si="34"/>
        <v>0.40832032750286984</v>
      </c>
      <c r="AA33" s="1"/>
      <c r="AB33" s="1"/>
      <c r="AC33" s="1"/>
    </row>
    <row r="34" spans="2:52" x14ac:dyDescent="0.25">
      <c r="B34" s="4">
        <f>IF(AND(T_0/(W_0-1)&gt;B33*1.1,T_0/(W_0-1)&lt;B33*1.1^2),T_0/(W_0-1),B33*1.1)</f>
        <v>366954.54269048769</v>
      </c>
      <c r="C34" s="4">
        <f t="shared" si="35"/>
        <v>79.506817582938993</v>
      </c>
      <c r="D34" s="4">
        <f t="shared" si="18"/>
        <v>486.25646478205675</v>
      </c>
      <c r="E34" s="2">
        <f t="shared" si="19"/>
        <v>13</v>
      </c>
      <c r="F34" s="1">
        <f t="shared" si="36"/>
        <v>9.7316344721517678E-2</v>
      </c>
      <c r="G34" s="1">
        <f t="shared" si="37"/>
        <v>0.59517791289323962</v>
      </c>
      <c r="H34" s="1">
        <f t="shared" si="38"/>
        <v>1.5912000000000058E-2</v>
      </c>
      <c r="I34" s="2">
        <f>getNeutralFeeOld(baseReward,$B34,W_0)*T_0*$C34</f>
        <v>0.28730000000000022</v>
      </c>
      <c r="J34" s="2">
        <f>getNeutralFeeOld(baseReward,$B34,W_0)*T_0*$D34</f>
        <v>1.7571006685829533</v>
      </c>
      <c r="K34" s="2">
        <f>getNeutralFeeOld(baseReward,$B34,W_0)*T_0*$E34</f>
        <v>4.6975845764470121E-2</v>
      </c>
      <c r="L34" s="2">
        <f t="shared" si="20"/>
        <v>0.84817499296959697</v>
      </c>
      <c r="M34" s="2">
        <f t="shared" si="21"/>
        <v>5.1873611111111018</v>
      </c>
      <c r="N34" s="2">
        <f t="shared" si="22"/>
        <v>0.13868338896978866</v>
      </c>
      <c r="O34" s="1">
        <f t="shared" si="23"/>
        <v>9.7316344721517678E-2</v>
      </c>
      <c r="P34" s="1">
        <f t="shared" si="24"/>
        <v>0.59517791289323962</v>
      </c>
      <c r="Q34" s="1">
        <f t="shared" si="25"/>
        <v>1.5912000000000058E-2</v>
      </c>
      <c r="R34" s="1">
        <f t="shared" si="26"/>
        <v>2.7469749825841827</v>
      </c>
      <c r="S34" s="1">
        <f t="shared" si="27"/>
        <v>16.800249141939819</v>
      </c>
      <c r="T34" s="1">
        <f t="shared" si="28"/>
        <v>0.44915236025315858</v>
      </c>
      <c r="U34" s="2">
        <f t="shared" si="29"/>
        <v>23.941666666666617</v>
      </c>
      <c r="V34" s="2">
        <f t="shared" si="30"/>
        <v>146.42505571524569</v>
      </c>
      <c r="W34" s="2">
        <f t="shared" si="31"/>
        <v>3.914653813705832</v>
      </c>
      <c r="X34" s="1">
        <f t="shared" si="32"/>
        <v>2.7469749825841827</v>
      </c>
      <c r="Y34" s="1">
        <f t="shared" si="33"/>
        <v>16.800249141939819</v>
      </c>
      <c r="Z34" s="1">
        <f t="shared" si="34"/>
        <v>0.44915236025315858</v>
      </c>
      <c r="AA34" s="1"/>
      <c r="AB34" s="1"/>
      <c r="AC34" s="1"/>
    </row>
    <row r="35" spans="2:52" x14ac:dyDescent="0.25">
      <c r="B35" s="4">
        <f>IF(AND(T_0/(W_0-1)&gt;B34*1.1,T_0/(W_0-1)&lt;B34*1.1^2),T_0/(W_0-1),B34*1.1)</f>
        <v>403649.99695953651</v>
      </c>
      <c r="C35" s="4">
        <f t="shared" si="35"/>
        <v>87.457499341232904</v>
      </c>
      <c r="D35" s="4">
        <f t="shared" si="18"/>
        <v>588.37032238628876</v>
      </c>
      <c r="E35" s="2">
        <f t="shared" si="19"/>
        <v>13</v>
      </c>
      <c r="F35" s="1">
        <f t="shared" si="36"/>
        <v>0.10704797919366957</v>
      </c>
      <c r="G35" s="1">
        <f t="shared" si="37"/>
        <v>0.7201652746008208</v>
      </c>
      <c r="H35" s="1">
        <f t="shared" si="38"/>
        <v>1.5912000000000075E-2</v>
      </c>
      <c r="I35" s="2">
        <f>getNeutralFeeOld(baseReward,$B35,W_0)*T_0*$C35</f>
        <v>0.28730000000000022</v>
      </c>
      <c r="J35" s="2">
        <f>getNeutralFeeOld(baseReward,$B35,W_0)*T_0*$D35</f>
        <v>1.9328107354412487</v>
      </c>
      <c r="K35" s="2">
        <f>getNeutralFeeOld(baseReward,$B35,W_0)*T_0*$E35</f>
        <v>4.2705314331336466E-2</v>
      </c>
      <c r="L35" s="2">
        <f t="shared" si="20"/>
        <v>0.77106817542690542</v>
      </c>
      <c r="M35" s="2">
        <f t="shared" si="21"/>
        <v>5.1873611111110947</v>
      </c>
      <c r="N35" s="2">
        <f t="shared" si="22"/>
        <v>0.11461437104941195</v>
      </c>
      <c r="O35" s="1">
        <f t="shared" si="23"/>
        <v>0.10704797919366957</v>
      </c>
      <c r="P35" s="1">
        <f t="shared" si="24"/>
        <v>0.7201652746008208</v>
      </c>
      <c r="Q35" s="1">
        <f t="shared" si="25"/>
        <v>1.5912000000000075E-2</v>
      </c>
      <c r="R35" s="1">
        <f t="shared" si="26"/>
        <v>3.3238397289268651</v>
      </c>
      <c r="S35" s="1">
        <f t="shared" si="27"/>
        <v>22.36113160792193</v>
      </c>
      <c r="T35" s="1">
        <f t="shared" si="28"/>
        <v>0.49406759627847496</v>
      </c>
      <c r="U35" s="2">
        <f t="shared" si="29"/>
        <v>23.941666666666592</v>
      </c>
      <c r="V35" s="2">
        <f t="shared" si="30"/>
        <v>161.06756128677009</v>
      </c>
      <c r="W35" s="2">
        <f t="shared" si="31"/>
        <v>3.5587761942780247</v>
      </c>
      <c r="X35" s="1">
        <f t="shared" si="32"/>
        <v>3.3238397289268651</v>
      </c>
      <c r="Y35" s="1">
        <f t="shared" si="33"/>
        <v>22.36113160792193</v>
      </c>
      <c r="Z35" s="1">
        <f t="shared" si="34"/>
        <v>0.49406759627847496</v>
      </c>
      <c r="AA35" s="1"/>
      <c r="AB35" s="1"/>
      <c r="AC35" s="1"/>
    </row>
    <row r="36" spans="2:52" x14ac:dyDescent="0.25">
      <c r="B36" s="4">
        <f>IF(AND(T_0/(W_0-1)&gt;B35*1.1,T_0/(W_0-1)&lt;B35*1.1^2),T_0/(W_0-1),B35*1.1)</f>
        <v>444014.99665549019</v>
      </c>
      <c r="C36" s="4">
        <f t="shared" si="35"/>
        <v>96.203249275356214</v>
      </c>
      <c r="D36" s="4">
        <f t="shared" si="18"/>
        <v>711.9280900874096</v>
      </c>
      <c r="E36" s="2">
        <f t="shared" si="19"/>
        <v>13</v>
      </c>
      <c r="F36" s="1">
        <f t="shared" si="36"/>
        <v>0.11775277711303615</v>
      </c>
      <c r="G36" s="1">
        <f t="shared" si="37"/>
        <v>0.87139998226699045</v>
      </c>
      <c r="H36" s="1">
        <f t="shared" si="38"/>
        <v>1.591200000000002E-2</v>
      </c>
      <c r="I36" s="2">
        <f>getNeutralFeeOld(baseReward,$B36,W_0)*T_0*$C36</f>
        <v>0.28730000000000028</v>
      </c>
      <c r="J36" s="2">
        <f>getNeutralFeeOld(baseReward,$B36,W_0)*T_0*$D36</f>
        <v>2.126091808985374</v>
      </c>
      <c r="K36" s="2">
        <f>getNeutralFeeOld(baseReward,$B36,W_0)*T_0*$E36</f>
        <v>3.8823013028487695E-2</v>
      </c>
      <c r="L36" s="2">
        <f t="shared" si="20"/>
        <v>0.70097106856991631</v>
      </c>
      <c r="M36" s="2">
        <f t="shared" si="21"/>
        <v>5.1873611111111133</v>
      </c>
      <c r="N36" s="2">
        <f t="shared" si="22"/>
        <v>9.4722620701993651E-2</v>
      </c>
      <c r="O36" s="1">
        <f t="shared" si="23"/>
        <v>0.11775277711303615</v>
      </c>
      <c r="P36" s="1">
        <f t="shared" si="24"/>
        <v>0.87139998226699045</v>
      </c>
      <c r="Q36" s="1">
        <f t="shared" si="25"/>
        <v>1.591200000000002E-2</v>
      </c>
      <c r="R36" s="1">
        <f t="shared" si="26"/>
        <v>4.0218460720014946</v>
      </c>
      <c r="S36" s="1">
        <f t="shared" si="27"/>
        <v>29.762666170143998</v>
      </c>
      <c r="T36" s="1">
        <f t="shared" si="28"/>
        <v>0.54347435590632065</v>
      </c>
      <c r="U36" s="2">
        <f t="shared" si="29"/>
        <v>23.941666666666677</v>
      </c>
      <c r="V36" s="2">
        <f t="shared" si="30"/>
        <v>177.17431741544777</v>
      </c>
      <c r="W36" s="2">
        <f t="shared" si="31"/>
        <v>3.2352510857073065</v>
      </c>
      <c r="X36" s="1">
        <f t="shared" si="32"/>
        <v>4.0218460720014946</v>
      </c>
      <c r="Y36" s="1">
        <f t="shared" si="33"/>
        <v>29.762666170143998</v>
      </c>
      <c r="Z36" s="1">
        <f t="shared" si="34"/>
        <v>0.54347435590632065</v>
      </c>
      <c r="AA36" s="1"/>
      <c r="AB36" s="1"/>
      <c r="AC36" s="1"/>
    </row>
    <row r="37" spans="2:52" ht="15" customHeight="1" x14ac:dyDescent="0.25">
      <c r="B37" s="4">
        <f>IF(AND(T_0/(W_0-1)&gt;B36*1.1,T_0/(W_0-1)&lt;B36*1.1^2),T_0/(W_0-1),B36*1.1)</f>
        <v>488416.49632103927</v>
      </c>
      <c r="C37" s="4">
        <f t="shared" si="35"/>
        <v>105.82357420289183</v>
      </c>
      <c r="D37" s="4">
        <f t="shared" si="18"/>
        <v>861.43298900576576</v>
      </c>
      <c r="E37" s="2">
        <f t="shared" si="19"/>
        <v>13</v>
      </c>
      <c r="F37" s="1">
        <f t="shared" si="36"/>
        <v>0.12952805482434007</v>
      </c>
      <c r="G37" s="1">
        <f t="shared" si="37"/>
        <v>1.0543939785430612</v>
      </c>
      <c r="H37" s="1">
        <f t="shared" si="38"/>
        <v>1.5912000000000058E-2</v>
      </c>
      <c r="I37" s="2">
        <f>getNeutralFeeOld(baseReward,$B37,W_0)*T_0*$C37</f>
        <v>0.28730000000000028</v>
      </c>
      <c r="J37" s="2">
        <f>getNeutralFeeOld(baseReward,$B37,W_0)*T_0*$D37</f>
        <v>2.338700989883912</v>
      </c>
      <c r="K37" s="2">
        <f>getNeutralFeeOld(baseReward,$B37,W_0)*T_0*$E37</f>
        <v>3.5293648207716084E-2</v>
      </c>
      <c r="L37" s="2">
        <f t="shared" si="20"/>
        <v>0.63724642597264969</v>
      </c>
      <c r="M37" s="2">
        <f t="shared" si="21"/>
        <v>5.1873611111111018</v>
      </c>
      <c r="N37" s="2">
        <f t="shared" si="22"/>
        <v>7.8283157604953246E-2</v>
      </c>
      <c r="O37" s="1">
        <f t="shared" si="23"/>
        <v>0.12952805482434007</v>
      </c>
      <c r="P37" s="1">
        <f t="shared" si="24"/>
        <v>1.0543939785430612</v>
      </c>
      <c r="Q37" s="1">
        <f t="shared" si="25"/>
        <v>1.5912000000000058E-2</v>
      </c>
      <c r="R37" s="1">
        <f t="shared" si="26"/>
        <v>4.8664337471218202</v>
      </c>
      <c r="S37" s="1">
        <f t="shared" si="27"/>
        <v>39.614108672461761</v>
      </c>
      <c r="T37" s="1">
        <f t="shared" si="28"/>
        <v>0.59782179149695414</v>
      </c>
      <c r="U37" s="2">
        <f t="shared" si="29"/>
        <v>23.941666666666624</v>
      </c>
      <c r="V37" s="2">
        <f t="shared" si="30"/>
        <v>194.89174915699212</v>
      </c>
      <c r="W37" s="2">
        <f t="shared" si="31"/>
        <v>2.941137350642999</v>
      </c>
      <c r="X37" s="1">
        <f t="shared" si="32"/>
        <v>4.8664337471218202</v>
      </c>
      <c r="Y37" s="1">
        <f t="shared" si="33"/>
        <v>39.614108672461761</v>
      </c>
      <c r="Z37" s="1">
        <f t="shared" si="34"/>
        <v>0.59782179149695414</v>
      </c>
      <c r="AA37" s="1"/>
      <c r="AB37" s="1"/>
      <c r="AC37" s="1"/>
      <c r="AG37" s="5" t="s">
        <v>26</v>
      </c>
      <c r="AH37" s="5"/>
      <c r="AI37" s="5"/>
      <c r="AJ37" s="5"/>
      <c r="AK37" s="5"/>
      <c r="AL37" s="5" t="s">
        <v>27</v>
      </c>
      <c r="AM37" s="5"/>
      <c r="AN37" s="5"/>
      <c r="AO37" s="5"/>
      <c r="AP37" s="5"/>
      <c r="AQ37" s="5" t="s">
        <v>19</v>
      </c>
      <c r="AR37" s="5"/>
      <c r="AS37" s="5"/>
      <c r="AT37" s="5"/>
      <c r="AU37" s="5"/>
      <c r="AV37" s="5" t="s">
        <v>20</v>
      </c>
      <c r="AW37" s="5"/>
      <c r="AX37" s="5"/>
      <c r="AY37" s="5"/>
      <c r="AZ37" s="5"/>
    </row>
    <row r="38" spans="2:52" x14ac:dyDescent="0.25">
      <c r="B38" s="4">
        <f>IF(AND(T_0/(W_0-1)&gt;B37*1.1,T_0/(W_0-1)&lt;B37*1.1^2),T_0/(W_0-1),B37*1.1)</f>
        <v>537258.14595314325</v>
      </c>
      <c r="C38" s="4">
        <f t="shared" si="35"/>
        <v>116.40593162318103</v>
      </c>
      <c r="D38" s="4">
        <f t="shared" si="18"/>
        <v>1042.3339166969768</v>
      </c>
      <c r="E38" s="2">
        <f t="shared" si="19"/>
        <v>13</v>
      </c>
      <c r="F38" s="1">
        <f t="shared" si="36"/>
        <v>0.1424808603067742</v>
      </c>
      <c r="G38" s="1">
        <f t="shared" si="37"/>
        <v>1.2758167140371051</v>
      </c>
      <c r="H38" s="1">
        <f t="shared" si="38"/>
        <v>1.5912000000000068E-2</v>
      </c>
      <c r="I38" s="2">
        <f>getNeutralFeeOld(baseReward,$B38,W_0)*T_0*$C38</f>
        <v>0.28730000000000022</v>
      </c>
      <c r="J38" s="2">
        <f>getNeutralFeeOld(baseReward,$B38,W_0)*T_0*$D38</f>
        <v>2.5725710888723028</v>
      </c>
      <c r="K38" s="2">
        <f>getNeutralFeeOld(baseReward,$B38,W_0)*T_0*$E38</f>
        <v>3.2085134734287341E-2</v>
      </c>
      <c r="L38" s="2">
        <f t="shared" si="20"/>
        <v>0.5793149327024083</v>
      </c>
      <c r="M38" s="2">
        <f t="shared" si="21"/>
        <v>5.1873611111110973</v>
      </c>
      <c r="N38" s="2">
        <f t="shared" si="22"/>
        <v>6.4696824466903446E-2</v>
      </c>
      <c r="O38" s="1">
        <f t="shared" si="23"/>
        <v>0.1424808603067742</v>
      </c>
      <c r="P38" s="1">
        <f t="shared" si="24"/>
        <v>1.2758167140371051</v>
      </c>
      <c r="Q38" s="1">
        <f t="shared" si="25"/>
        <v>1.5912000000000068E-2</v>
      </c>
      <c r="R38" s="1">
        <f t="shared" si="26"/>
        <v>5.8883848340174083</v>
      </c>
      <c r="S38" s="1">
        <f t="shared" si="27"/>
        <v>52.726378643046658</v>
      </c>
      <c r="T38" s="1">
        <f t="shared" si="28"/>
        <v>0.6576039706466501</v>
      </c>
      <c r="U38" s="2">
        <f t="shared" si="29"/>
        <v>23.941666666666606</v>
      </c>
      <c r="V38" s="2">
        <f t="shared" si="30"/>
        <v>214.38092407269119</v>
      </c>
      <c r="W38" s="2">
        <f t="shared" si="31"/>
        <v>2.6737612278572698</v>
      </c>
      <c r="X38" s="1">
        <f t="shared" si="32"/>
        <v>5.8883848340174083</v>
      </c>
      <c r="Y38" s="1">
        <f t="shared" si="33"/>
        <v>52.726378643046658</v>
      </c>
      <c r="Z38" s="1">
        <f t="shared" si="34"/>
        <v>0.6576039706466501</v>
      </c>
      <c r="AA38" s="1"/>
      <c r="AB38" s="1"/>
      <c r="AC38" s="1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</row>
    <row r="39" spans="2:52" x14ac:dyDescent="0.25">
      <c r="B39" s="4">
        <f>IF(AND(T_0/(W_0-1)&gt;B38*1.1,T_0/(W_0-1)&lt;B38*1.1^2),T_0/(W_0-1),B38*1.1)</f>
        <v>590983.96054845757</v>
      </c>
      <c r="C39" s="4">
        <f t="shared" si="35"/>
        <v>128.04652478549914</v>
      </c>
      <c r="D39" s="4">
        <f t="shared" si="18"/>
        <v>1261.224039203342</v>
      </c>
      <c r="E39" s="2">
        <f t="shared" si="19"/>
        <v>13</v>
      </c>
      <c r="F39" s="1">
        <f t="shared" si="36"/>
        <v>0.1567289463374506</v>
      </c>
      <c r="G39" s="1">
        <f t="shared" si="37"/>
        <v>1.5437382239848871</v>
      </c>
      <c r="H39" s="1">
        <f t="shared" si="38"/>
        <v>1.5911999999999964E-2</v>
      </c>
      <c r="I39" s="2">
        <f>getNeutralFeeOld(baseReward,$B39,W_0)*T_0*$C39</f>
        <v>0.28730000000000028</v>
      </c>
      <c r="J39" s="2">
        <f>getNeutralFeeOld(baseReward,$B39,W_0)*T_0*$D39</f>
        <v>2.8298281977595336</v>
      </c>
      <c r="K39" s="2">
        <f>getNeutralFeeOld(baseReward,$B39,W_0)*T_0*$E39</f>
        <v>2.9168304303897583E-2</v>
      </c>
      <c r="L39" s="2">
        <f t="shared" si="20"/>
        <v>0.5266499388203747</v>
      </c>
      <c r="M39" s="2">
        <f t="shared" si="21"/>
        <v>5.1873611111111328</v>
      </c>
      <c r="N39" s="2">
        <f t="shared" si="22"/>
        <v>5.3468449972647832E-2</v>
      </c>
      <c r="O39" s="1">
        <f t="shared" si="23"/>
        <v>0.1567289463374506</v>
      </c>
      <c r="P39" s="1">
        <f t="shared" si="24"/>
        <v>1.5437382239848871</v>
      </c>
      <c r="Q39" s="1">
        <f t="shared" si="25"/>
        <v>1.5911999999999964E-2</v>
      </c>
      <c r="R39" s="1">
        <f t="shared" si="26"/>
        <v>7.1249456491610177</v>
      </c>
      <c r="S39" s="1">
        <f t="shared" si="27"/>
        <v>70.178809973894658</v>
      </c>
      <c r="T39" s="1">
        <f t="shared" si="28"/>
        <v>0.72336436771131041</v>
      </c>
      <c r="U39" s="2">
        <f t="shared" si="29"/>
        <v>23.941666666666766</v>
      </c>
      <c r="V39" s="2">
        <f t="shared" si="30"/>
        <v>235.8190164799619</v>
      </c>
      <c r="W39" s="2">
        <f t="shared" si="31"/>
        <v>2.4306920253248068</v>
      </c>
      <c r="X39" s="1">
        <f t="shared" si="32"/>
        <v>7.1249456491610177</v>
      </c>
      <c r="Y39" s="1">
        <f t="shared" si="33"/>
        <v>70.178809973894658</v>
      </c>
      <c r="Z39" s="1">
        <f t="shared" si="34"/>
        <v>0.72336436771131041</v>
      </c>
      <c r="AA39" s="1"/>
      <c r="AB39" s="1"/>
      <c r="AC39" s="1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</row>
    <row r="40" spans="2:52" x14ac:dyDescent="0.25">
      <c r="B40" s="4">
        <f>IF(AND(T_0/(W_0-1)&gt;B39*1.1,T_0/(W_0-1)&lt;B39*1.1^2),T_0/(W_0-1),B39*1.1)</f>
        <v>650082.35660330334</v>
      </c>
      <c r="C40" s="4">
        <f t="shared" si="35"/>
        <v>140.85117726404906</v>
      </c>
      <c r="D40" s="4">
        <f t="shared" si="18"/>
        <v>1526.0810874360438</v>
      </c>
      <c r="E40" s="2">
        <f t="shared" si="19"/>
        <v>13</v>
      </c>
      <c r="F40" s="1">
        <f t="shared" si="36"/>
        <v>0.17240184097119565</v>
      </c>
      <c r="G40" s="1">
        <f t="shared" si="37"/>
        <v>1.8679232510217134</v>
      </c>
      <c r="H40" s="1">
        <f t="shared" si="38"/>
        <v>1.5911999999999964E-2</v>
      </c>
      <c r="I40" s="2">
        <f>getNeutralFeeOld(baseReward,$B40,W_0)*T_0*$C40</f>
        <v>0.28730000000000022</v>
      </c>
      <c r="J40" s="2">
        <f>getNeutralFeeOld(baseReward,$B40,W_0)*T_0*$D40</f>
        <v>3.1128110175354871</v>
      </c>
      <c r="K40" s="2">
        <f>getNeutralFeeOld(baseReward,$B40,W_0)*T_0*$E40</f>
        <v>2.6516640276270532E-2</v>
      </c>
      <c r="L40" s="2">
        <f t="shared" si="20"/>
        <v>0.47877267165488607</v>
      </c>
      <c r="M40" s="2">
        <f t="shared" si="21"/>
        <v>5.187361111111132</v>
      </c>
      <c r="N40" s="2">
        <f t="shared" si="22"/>
        <v>4.4188801630287461E-2</v>
      </c>
      <c r="O40" s="1">
        <f t="shared" si="23"/>
        <v>0.17240184097119565</v>
      </c>
      <c r="P40" s="1">
        <f t="shared" si="24"/>
        <v>1.8679232510217134</v>
      </c>
      <c r="Q40" s="1">
        <f t="shared" si="25"/>
        <v>1.5911999999999964E-2</v>
      </c>
      <c r="R40" s="1">
        <f t="shared" si="26"/>
        <v>8.6211842354848311</v>
      </c>
      <c r="S40" s="1">
        <f t="shared" si="27"/>
        <v>93.407996075253791</v>
      </c>
      <c r="T40" s="1">
        <f t="shared" si="28"/>
        <v>0.79570080448244151</v>
      </c>
      <c r="U40" s="2">
        <f t="shared" si="29"/>
        <v>23.941666666666762</v>
      </c>
      <c r="V40" s="2">
        <f t="shared" si="30"/>
        <v>259.40091812795805</v>
      </c>
      <c r="W40" s="2">
        <f t="shared" si="31"/>
        <v>2.2097200230225509</v>
      </c>
      <c r="X40" s="1">
        <f t="shared" si="32"/>
        <v>8.6211842354848311</v>
      </c>
      <c r="Y40" s="1">
        <f t="shared" si="33"/>
        <v>93.407996075253791</v>
      </c>
      <c r="Z40" s="1">
        <f t="shared" si="34"/>
        <v>0.79570080448244151</v>
      </c>
      <c r="AA40" s="1"/>
      <c r="AB40" s="1"/>
      <c r="AC40" s="1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</row>
    <row r="41" spans="2:52" x14ac:dyDescent="0.25">
      <c r="B41" s="4">
        <f>IF(AND(T_0/(W_0-1)&gt;B40*1.1,T_0/(W_0-1)&lt;B40*1.1^2),T_0/(W_0-1),B40*1.1)</f>
        <v>715090.59226363373</v>
      </c>
      <c r="C41" s="4">
        <f t="shared" si="35"/>
        <v>154.93629499045397</v>
      </c>
      <c r="D41" s="4">
        <f t="shared" si="18"/>
        <v>1846.5581157976133</v>
      </c>
      <c r="E41" s="2">
        <f t="shared" si="19"/>
        <v>13</v>
      </c>
      <c r="F41" s="1">
        <f t="shared" si="36"/>
        <v>0.18964202506831671</v>
      </c>
      <c r="G41" s="1">
        <f t="shared" si="37"/>
        <v>2.2601871337362911</v>
      </c>
      <c r="H41" s="1">
        <f t="shared" si="38"/>
        <v>1.5912000000000089E-2</v>
      </c>
      <c r="I41" s="2">
        <f>getNeutralFeeOld(baseReward,$B41,W_0)*T_0*$C41</f>
        <v>0.28730000000000022</v>
      </c>
      <c r="J41" s="2">
        <f>getNeutralFeeOld(baseReward,$B41,W_0)*T_0*$D41</f>
        <v>3.4240921192890355</v>
      </c>
      <c r="K41" s="2">
        <f>getNeutralFeeOld(baseReward,$B41,W_0)*T_0*$E41</f>
        <v>2.4106036614791389E-2</v>
      </c>
      <c r="L41" s="2">
        <f t="shared" si="20"/>
        <v>0.43524788332262032</v>
      </c>
      <c r="M41" s="2">
        <f t="shared" si="21"/>
        <v>5.187361111111092</v>
      </c>
      <c r="N41" s="2">
        <f t="shared" si="22"/>
        <v>3.6519670768832328E-2</v>
      </c>
      <c r="O41" s="1">
        <f t="shared" si="23"/>
        <v>0.18964202506831671</v>
      </c>
      <c r="P41" s="1">
        <f t="shared" si="24"/>
        <v>2.2601871337362911</v>
      </c>
      <c r="Q41" s="1">
        <f t="shared" si="25"/>
        <v>1.5912000000000089E-2</v>
      </c>
      <c r="R41" s="1">
        <f t="shared" si="26"/>
        <v>10.431632924936729</v>
      </c>
      <c r="S41" s="1">
        <f t="shared" si="27"/>
        <v>124.32604277616377</v>
      </c>
      <c r="T41" s="1">
        <f t="shared" si="28"/>
        <v>0.87527088493069249</v>
      </c>
      <c r="U41" s="2">
        <f t="shared" si="29"/>
        <v>23.941666666666578</v>
      </c>
      <c r="V41" s="2">
        <f t="shared" si="30"/>
        <v>285.34100994075169</v>
      </c>
      <c r="W41" s="2">
        <f t="shared" si="31"/>
        <v>2.00883638456594</v>
      </c>
      <c r="X41" s="1">
        <f t="shared" si="32"/>
        <v>10.431632924936729</v>
      </c>
      <c r="Y41" s="1">
        <f t="shared" si="33"/>
        <v>124.32604277616377</v>
      </c>
      <c r="Z41" s="1">
        <f t="shared" si="34"/>
        <v>0.87527088493069249</v>
      </c>
      <c r="AA41" s="1"/>
      <c r="AB41" s="1"/>
      <c r="AC41" s="1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52" x14ac:dyDescent="0.25">
      <c r="B42" s="4">
        <f>IF(AND(T_0/(W_0-1)&gt;B41*1.1,T_0/(W_0-1)&lt;B41*1.1^2),T_0/(W_0-1),B41*1.1)</f>
        <v>786599.65148999717</v>
      </c>
      <c r="C42" s="4">
        <f t="shared" si="35"/>
        <v>170.42992448949937</v>
      </c>
      <c r="D42" s="4">
        <f t="shared" si="18"/>
        <v>2234.3353201151126</v>
      </c>
      <c r="E42" s="2">
        <f t="shared" si="19"/>
        <v>13</v>
      </c>
      <c r="F42" s="1">
        <f t="shared" si="36"/>
        <v>0.2086062275751486</v>
      </c>
      <c r="G42" s="1">
        <f t="shared" si="37"/>
        <v>2.7348264318209159</v>
      </c>
      <c r="H42" s="1">
        <f t="shared" si="38"/>
        <v>1.5912000000000107E-2</v>
      </c>
      <c r="I42" s="2">
        <f>getNeutralFeeOld(baseReward,$B42,W_0)*T_0*$C42</f>
        <v>0.28730000000000022</v>
      </c>
      <c r="J42" s="2">
        <f>getNeutralFeeOld(baseReward,$B42,W_0)*T_0*$D42</f>
        <v>3.7665013312179396</v>
      </c>
      <c r="K42" s="2">
        <f>getNeutralFeeOld(baseReward,$B42,W_0)*T_0*$E42</f>
        <v>2.1914578740719441E-2</v>
      </c>
      <c r="L42" s="2">
        <f t="shared" si="20"/>
        <v>0.3956798939296543</v>
      </c>
      <c r="M42" s="2">
        <f t="shared" si="21"/>
        <v>5.1873611111110867</v>
      </c>
      <c r="N42" s="2">
        <f t="shared" si="22"/>
        <v>3.0181546089944031E-2</v>
      </c>
      <c r="O42" s="1">
        <f t="shared" si="23"/>
        <v>0.2086062275751486</v>
      </c>
      <c r="P42" s="1">
        <f t="shared" si="24"/>
        <v>2.7348264318209159</v>
      </c>
      <c r="Q42" s="1">
        <f t="shared" si="25"/>
        <v>1.5912000000000107E-2</v>
      </c>
      <c r="R42" s="1">
        <f t="shared" si="26"/>
        <v>12.622275839173456</v>
      </c>
      <c r="S42" s="1">
        <f t="shared" si="27"/>
        <v>165.47796293507423</v>
      </c>
      <c r="T42" s="1">
        <f t="shared" si="28"/>
        <v>0.96279797342376283</v>
      </c>
      <c r="U42" s="2">
        <f t="shared" si="29"/>
        <v>23.941666666666549</v>
      </c>
      <c r="V42" s="2">
        <f t="shared" si="30"/>
        <v>313.87511093482652</v>
      </c>
      <c r="W42" s="2">
        <f t="shared" si="31"/>
        <v>1.8262148950599433</v>
      </c>
      <c r="X42" s="1">
        <f t="shared" si="32"/>
        <v>12.622275839173456</v>
      </c>
      <c r="Y42" s="1">
        <f t="shared" si="33"/>
        <v>165.47796293507423</v>
      </c>
      <c r="Z42" s="1">
        <f t="shared" si="34"/>
        <v>0.96279797342376283</v>
      </c>
      <c r="AA42" s="1"/>
      <c r="AB42" s="1"/>
      <c r="AC42" s="1"/>
    </row>
    <row r="43" spans="2:52" x14ac:dyDescent="0.25">
      <c r="B43" s="4">
        <f>IF(AND(T_0/(W_0-1)&gt;B42*1.1,T_0/(W_0-1)&lt;B42*1.1^2),T_0/(W_0-1),B42*1.1)</f>
        <v>865259.61663899699</v>
      </c>
      <c r="C43" s="4">
        <f t="shared" si="35"/>
        <v>187.47291693844934</v>
      </c>
      <c r="D43" s="4">
        <f t="shared" si="18"/>
        <v>2703.5457373392865</v>
      </c>
      <c r="E43" s="2">
        <f t="shared" si="19"/>
        <v>13</v>
      </c>
      <c r="F43" s="1">
        <f t="shared" si="36"/>
        <v>0.22946685033266132</v>
      </c>
      <c r="G43" s="1">
        <f t="shared" si="37"/>
        <v>3.3091399825032766</v>
      </c>
      <c r="H43" s="1">
        <f t="shared" si="38"/>
        <v>1.5911999999999954E-2</v>
      </c>
      <c r="I43" s="2">
        <f>getNeutralFeeOld(baseReward,$B43,W_0)*T_0*$C43</f>
        <v>0.28730000000000022</v>
      </c>
      <c r="J43" s="2">
        <f>getNeutralFeeOld(baseReward,$B43,W_0)*T_0*$D43</f>
        <v>4.1431514643397334</v>
      </c>
      <c r="K43" s="2">
        <f>getNeutralFeeOld(baseReward,$B43,W_0)*T_0*$E43</f>
        <v>1.9922344309744947E-2</v>
      </c>
      <c r="L43" s="2">
        <f t="shared" si="20"/>
        <v>0.35970899448150734</v>
      </c>
      <c r="M43" s="2">
        <f t="shared" si="21"/>
        <v>5.1873611111111355</v>
      </c>
      <c r="N43" s="2">
        <f t="shared" si="22"/>
        <v>2.4943426520615136E-2</v>
      </c>
      <c r="O43" s="1">
        <f t="shared" si="23"/>
        <v>0.22946685033266132</v>
      </c>
      <c r="P43" s="1">
        <f t="shared" si="24"/>
        <v>3.3091399825032766</v>
      </c>
      <c r="Q43" s="1">
        <f t="shared" si="25"/>
        <v>1.5911999999999954E-2</v>
      </c>
      <c r="R43" s="1">
        <f t="shared" si="26"/>
        <v>15.272953765399739</v>
      </c>
      <c r="S43" s="1">
        <f t="shared" si="27"/>
        <v>220.25116866658172</v>
      </c>
      <c r="T43" s="1">
        <f t="shared" si="28"/>
        <v>1.059077770766129</v>
      </c>
      <c r="U43" s="2">
        <f t="shared" si="29"/>
        <v>23.94166666666678</v>
      </c>
      <c r="V43" s="2">
        <f t="shared" si="30"/>
        <v>345.26262202831248</v>
      </c>
      <c r="W43" s="2">
        <f t="shared" si="31"/>
        <v>1.6601953591454186</v>
      </c>
      <c r="X43" s="1">
        <f t="shared" si="32"/>
        <v>15.272953765399739</v>
      </c>
      <c r="Y43" s="1">
        <f t="shared" si="33"/>
        <v>220.25116866658172</v>
      </c>
      <c r="Z43" s="1">
        <f t="shared" si="34"/>
        <v>1.059077770766129</v>
      </c>
      <c r="AA43" s="1"/>
      <c r="AB43" s="1"/>
      <c r="AC43" s="1"/>
    </row>
    <row r="44" spans="2:52" x14ac:dyDescent="0.25">
      <c r="B44" s="4">
        <f>IF(AND(T_0/(W_0-1)&gt;B43*1.1,T_0/(W_0-1)&lt;B43*1.1^2),T_0/(W_0-1),B43*1.1)</f>
        <v>951785.57830289681</v>
      </c>
      <c r="C44" s="4">
        <f t="shared" si="35"/>
        <v>206.22020863229432</v>
      </c>
      <c r="D44" s="4">
        <f t="shared" si="18"/>
        <v>3271.2903421805377</v>
      </c>
      <c r="E44" s="2">
        <f t="shared" si="19"/>
        <v>13</v>
      </c>
      <c r="F44" s="1">
        <f t="shared" si="36"/>
        <v>0.25241353536592703</v>
      </c>
      <c r="G44" s="1">
        <f t="shared" si="37"/>
        <v>4.0040593788289591</v>
      </c>
      <c r="H44" s="1">
        <f t="shared" si="38"/>
        <v>1.5911999999999926E-2</v>
      </c>
      <c r="I44" s="2">
        <f>getNeutralFeeOld(baseReward,$B44,W_0)*T_0*$C44</f>
        <v>0.28730000000000022</v>
      </c>
      <c r="J44" s="2">
        <f>getNeutralFeeOld(baseReward,$B44,W_0)*T_0*$D44</f>
        <v>4.5574666107737078</v>
      </c>
      <c r="K44" s="2">
        <f>getNeutralFeeOld(baseReward,$B44,W_0)*T_0*$E44</f>
        <v>1.8111222099768131E-2</v>
      </c>
      <c r="L44" s="2">
        <f t="shared" si="20"/>
        <v>0.32700817680137079</v>
      </c>
      <c r="M44" s="2">
        <f t="shared" si="21"/>
        <v>5.1873611111111435</v>
      </c>
      <c r="N44" s="2">
        <f t="shared" si="22"/>
        <v>2.061440208315303E-2</v>
      </c>
      <c r="O44" s="1">
        <f t="shared" si="23"/>
        <v>0.25241353536592703</v>
      </c>
      <c r="P44" s="1">
        <f t="shared" si="24"/>
        <v>4.0040593788289591</v>
      </c>
      <c r="Q44" s="1">
        <f t="shared" si="25"/>
        <v>1.5911999999999926E-2</v>
      </c>
      <c r="R44" s="1">
        <f t="shared" si="26"/>
        <v>18.480274056133663</v>
      </c>
      <c r="S44" s="1">
        <f t="shared" si="27"/>
        <v>293.15430549521994</v>
      </c>
      <c r="T44" s="1">
        <f t="shared" si="28"/>
        <v>1.1649855478427402</v>
      </c>
      <c r="U44" s="2">
        <f t="shared" si="29"/>
        <v>23.941666666666819</v>
      </c>
      <c r="V44" s="2">
        <f t="shared" si="30"/>
        <v>379.78888423114438</v>
      </c>
      <c r="W44" s="2">
        <f t="shared" si="31"/>
        <v>1.5092685083140189</v>
      </c>
      <c r="X44" s="1">
        <f t="shared" si="32"/>
        <v>18.480274056133663</v>
      </c>
      <c r="Y44" s="1">
        <f t="shared" si="33"/>
        <v>293.15430549521994</v>
      </c>
      <c r="Z44" s="1">
        <f t="shared" si="34"/>
        <v>1.1649855478427402</v>
      </c>
      <c r="AA44" s="1"/>
      <c r="AB44" s="1"/>
      <c r="AC44" s="1"/>
    </row>
    <row r="45" spans="2:52" x14ac:dyDescent="0.25">
      <c r="B45" s="4">
        <f>IF(AND(T_0/(W_0-1)&gt;B44*1.1,T_0/(W_0-1)&lt;B44*1.1^2),T_0/(W_0-1),B44*1.1)</f>
        <v>1083333.3333333323</v>
      </c>
      <c r="C45" s="4">
        <f t="shared" si="35"/>
        <v>234.722222222222</v>
      </c>
      <c r="D45" s="4">
        <f t="shared" si="18"/>
        <v>4238.0401234567826</v>
      </c>
      <c r="E45" s="2">
        <f t="shared" si="19"/>
        <v>13</v>
      </c>
      <c r="F45" s="1">
        <f t="shared" si="36"/>
        <v>0.28730000000000022</v>
      </c>
      <c r="G45" s="1">
        <f t="shared" si="37"/>
        <v>5.1873611111111115</v>
      </c>
      <c r="H45" s="1">
        <f t="shared" si="38"/>
        <v>1.591200000000003E-2</v>
      </c>
      <c r="I45" s="2">
        <f>getNeutralFeeOld(baseReward,$B45,W_0)*T_0*$C45</f>
        <v>0.28730000000000022</v>
      </c>
      <c r="J45" s="2">
        <f>getNeutralFeeOld(baseReward,$B45,W_0)*T_0*$D45</f>
        <v>5.1873611111111115</v>
      </c>
      <c r="K45" s="2">
        <f>getNeutralFeeOld(baseReward,$B45,W_0)*T_0*$E45</f>
        <v>1.591200000000003E-2</v>
      </c>
      <c r="L45" s="2">
        <f t="shared" si="20"/>
        <v>0.28730000000000022</v>
      </c>
      <c r="M45" s="2">
        <f t="shared" si="21"/>
        <v>5.1873611111111115</v>
      </c>
      <c r="N45" s="2">
        <f t="shared" si="22"/>
        <v>1.591200000000003E-2</v>
      </c>
      <c r="O45" s="1">
        <f t="shared" si="23"/>
        <v>0.28730000000000022</v>
      </c>
      <c r="P45" s="1">
        <f t="shared" si="24"/>
        <v>5.1873611111111115</v>
      </c>
      <c r="Q45" s="1">
        <f t="shared" si="25"/>
        <v>1.591200000000003E-2</v>
      </c>
      <c r="R45" s="1">
        <f t="shared" si="26"/>
        <v>23.941666666666666</v>
      </c>
      <c r="S45" s="1">
        <f t="shared" si="27"/>
        <v>432.28009259259221</v>
      </c>
      <c r="T45" s="1">
        <f t="shared" si="28"/>
        <v>1.3260000000000012</v>
      </c>
      <c r="U45" s="2">
        <f t="shared" si="29"/>
        <v>23.941666666666666</v>
      </c>
      <c r="V45" s="2">
        <f t="shared" si="30"/>
        <v>432.28009259259221</v>
      </c>
      <c r="W45" s="2">
        <f t="shared" si="31"/>
        <v>1.3260000000000012</v>
      </c>
      <c r="X45" s="1">
        <f t="shared" si="32"/>
        <v>23.941666666666666</v>
      </c>
      <c r="Y45" s="1">
        <f t="shared" si="33"/>
        <v>432.28009259259221</v>
      </c>
      <c r="Z45" s="1">
        <f t="shared" si="34"/>
        <v>1.3260000000000012</v>
      </c>
      <c r="AA45" s="1"/>
      <c r="AB45" s="1"/>
      <c r="AC45" s="1"/>
    </row>
    <row r="46" spans="2:52" x14ac:dyDescent="0.25">
      <c r="B46" s="4">
        <f>IF(AND(T_0/(W_0-1)&gt;B45*1.1,T_0/(W_0-1)&lt;B45*1.1^2),T_0/(W_0-1),B45*1.1)</f>
        <v>1191666.6666666656</v>
      </c>
      <c r="C46" s="4">
        <f t="shared" si="35"/>
        <v>258.19444444444423</v>
      </c>
      <c r="D46" s="4">
        <f t="shared" si="18"/>
        <v>5128.0285493827068</v>
      </c>
      <c r="E46" s="2">
        <f t="shared" si="19"/>
        <v>13</v>
      </c>
      <c r="F46" s="1">
        <f t="shared" si="36"/>
        <v>0.28730000000000028</v>
      </c>
      <c r="G46" s="1">
        <f t="shared" si="37"/>
        <v>5.7060972222222226</v>
      </c>
      <c r="H46" s="1">
        <f t="shared" si="38"/>
        <v>1.4465454545454573E-2</v>
      </c>
      <c r="I46" s="2">
        <f>getNeutralFeeOld(baseReward,$B46,W_0)*T_0*$C46</f>
        <v>0.28730000000000028</v>
      </c>
      <c r="J46" s="2">
        <f>getNeutralFeeOld(baseReward,$B46,W_0)*T_0*$D46</f>
        <v>5.7060972222222226</v>
      </c>
      <c r="K46" s="2">
        <f>getNeutralFeeOld(baseReward,$B46,W_0)*T_0*$E46</f>
        <v>1.4465454545454573E-2</v>
      </c>
      <c r="L46" s="2">
        <f t="shared" si="20"/>
        <v>0.28730000000000028</v>
      </c>
      <c r="M46" s="2">
        <f t="shared" si="21"/>
        <v>5.7060972222222226</v>
      </c>
      <c r="N46" s="2">
        <f t="shared" si="22"/>
        <v>1.4465454545454573E-2</v>
      </c>
      <c r="O46" s="1">
        <f t="shared" si="23"/>
        <v>0.2611818181818199</v>
      </c>
      <c r="P46" s="1">
        <f t="shared" si="24"/>
        <v>5.18736111111114</v>
      </c>
      <c r="Q46" s="1">
        <f t="shared" si="25"/>
        <v>1.3150413223140592E-2</v>
      </c>
      <c r="R46" s="1">
        <f t="shared" si="26"/>
        <v>26.335833333333333</v>
      </c>
      <c r="S46" s="1">
        <f t="shared" si="27"/>
        <v>523.05891203703652</v>
      </c>
      <c r="T46" s="1">
        <f t="shared" si="28"/>
        <v>1.3260000000000012</v>
      </c>
      <c r="U46" s="2">
        <f t="shared" si="29"/>
        <v>26.335833333333333</v>
      </c>
      <c r="V46" s="2">
        <f t="shared" si="30"/>
        <v>523.05891203703652</v>
      </c>
      <c r="W46" s="2">
        <f t="shared" si="31"/>
        <v>1.3260000000000012</v>
      </c>
      <c r="X46" s="1">
        <f t="shared" si="32"/>
        <v>23.941666666666801</v>
      </c>
      <c r="Y46" s="1">
        <f t="shared" si="33"/>
        <v>475.50810185185406</v>
      </c>
      <c r="Z46" s="1">
        <f t="shared" si="34"/>
        <v>1.2054545454545531</v>
      </c>
      <c r="AA46" s="1"/>
      <c r="AB46" s="1"/>
      <c r="AC46" s="1"/>
    </row>
    <row r="47" spans="2:52" x14ac:dyDescent="0.25">
      <c r="B47" s="4">
        <f>IF(AND(T_0/(W_0-1)&gt;B46*1.1,T_0/(W_0-1)&lt;B46*1.1^2),T_0/(W_0-1),B46*1.1)</f>
        <v>1310833.3333333323</v>
      </c>
      <c r="C47" s="4">
        <f t="shared" si="35"/>
        <v>284.01388888888863</v>
      </c>
      <c r="D47" s="4">
        <f t="shared" si="18"/>
        <v>6204.9145447530755</v>
      </c>
      <c r="E47" s="2">
        <f t="shared" si="19"/>
        <v>13</v>
      </c>
      <c r="F47" s="1">
        <f t="shared" si="36"/>
        <v>0.28730000000000022</v>
      </c>
      <c r="G47" s="1">
        <f t="shared" si="37"/>
        <v>6.2767069444444434</v>
      </c>
      <c r="H47" s="1">
        <f t="shared" si="38"/>
        <v>1.3150413223140516E-2</v>
      </c>
      <c r="I47" s="2">
        <f>getNeutralFeeOld(baseReward,$B47,W_0)*T_0*$C47</f>
        <v>0.28730000000000022</v>
      </c>
      <c r="J47" s="2">
        <f>getNeutralFeeOld(baseReward,$B47,W_0)*T_0*$D47</f>
        <v>6.2767069444444434</v>
      </c>
      <c r="K47" s="2">
        <f>getNeutralFeeOld(baseReward,$B47,W_0)*T_0*$E47</f>
        <v>1.3150413223140516E-2</v>
      </c>
      <c r="L47" s="2">
        <f t="shared" si="20"/>
        <v>0.28730000000000022</v>
      </c>
      <c r="M47" s="2">
        <f t="shared" si="21"/>
        <v>6.2767069444444434</v>
      </c>
      <c r="N47" s="2">
        <f t="shared" si="22"/>
        <v>1.3150413223140516E-2</v>
      </c>
      <c r="O47" s="1">
        <f t="shared" si="23"/>
        <v>0.23743801652892371</v>
      </c>
      <c r="P47" s="1">
        <f t="shared" si="24"/>
        <v>5.1873611111110653</v>
      </c>
      <c r="Q47" s="1">
        <f t="shared" si="25"/>
        <v>1.0868110101768927E-2</v>
      </c>
      <c r="R47" s="1">
        <f t="shared" si="26"/>
        <v>28.969416666666667</v>
      </c>
      <c r="S47" s="1">
        <f t="shared" si="27"/>
        <v>632.90128356481421</v>
      </c>
      <c r="T47" s="1">
        <f t="shared" si="28"/>
        <v>1.3260000000000012</v>
      </c>
      <c r="U47" s="2">
        <f t="shared" si="29"/>
        <v>28.969416666666667</v>
      </c>
      <c r="V47" s="2">
        <f t="shared" si="30"/>
        <v>632.90128356481421</v>
      </c>
      <c r="W47" s="2">
        <f t="shared" si="31"/>
        <v>1.3260000000000012</v>
      </c>
      <c r="X47" s="1">
        <f t="shared" si="32"/>
        <v>23.941666666666457</v>
      </c>
      <c r="Y47" s="1">
        <f t="shared" si="33"/>
        <v>523.05891203703197</v>
      </c>
      <c r="Z47" s="1">
        <f t="shared" si="34"/>
        <v>1.0958677685950327</v>
      </c>
      <c r="AA47" s="1"/>
      <c r="AB47" s="1"/>
      <c r="AC47" s="1"/>
    </row>
    <row r="48" spans="2:52" x14ac:dyDescent="0.25">
      <c r="B48" s="4">
        <f>IF(AND(T_0/(W_0-1)&gt;B47*1.1,T_0/(W_0-1)&lt;B47*1.1^2),T_0/(W_0-1),B47*1.1)</f>
        <v>1441916.6666666656</v>
      </c>
      <c r="C48" s="4">
        <f t="shared" si="35"/>
        <v>312.41527777777753</v>
      </c>
      <c r="D48" s="4">
        <f t="shared" si="18"/>
        <v>7507.9465991512243</v>
      </c>
      <c r="E48" s="2">
        <f t="shared" si="19"/>
        <v>13</v>
      </c>
      <c r="F48" s="1">
        <f t="shared" si="36"/>
        <v>0.28730000000000022</v>
      </c>
      <c r="G48" s="1">
        <f t="shared" si="37"/>
        <v>6.9043776388888904</v>
      </c>
      <c r="H48" s="1">
        <f t="shared" si="38"/>
        <v>1.1954921111945925E-2</v>
      </c>
      <c r="I48" s="2">
        <f>getNeutralFeeOld(baseReward,$B48,W_0)*T_0*$C48</f>
        <v>0.28730000000000022</v>
      </c>
      <c r="J48" s="2">
        <f>getNeutralFeeOld(baseReward,$B48,W_0)*T_0*$D48</f>
        <v>6.9043776388888904</v>
      </c>
      <c r="K48" s="2">
        <f>getNeutralFeeOld(baseReward,$B48,W_0)*T_0*$E48</f>
        <v>1.1954921111945925E-2</v>
      </c>
      <c r="L48" s="2">
        <f t="shared" si="20"/>
        <v>0.28730000000000022</v>
      </c>
      <c r="M48" s="2">
        <f t="shared" si="21"/>
        <v>6.9043776388888904</v>
      </c>
      <c r="N48" s="2">
        <f t="shared" si="22"/>
        <v>1.1954921111945925E-2</v>
      </c>
      <c r="O48" s="1">
        <f t="shared" si="23"/>
        <v>0.21585274229902113</v>
      </c>
      <c r="P48" s="1">
        <f t="shared" si="24"/>
        <v>5.1873611111110556</v>
      </c>
      <c r="Q48" s="1">
        <f t="shared" si="25"/>
        <v>8.9819091750156232E-3</v>
      </c>
      <c r="R48" s="1">
        <f t="shared" si="26"/>
        <v>31.866358333333338</v>
      </c>
      <c r="S48" s="1">
        <f t="shared" si="27"/>
        <v>765.81055311342561</v>
      </c>
      <c r="T48" s="1">
        <f t="shared" si="28"/>
        <v>1.3260000000000012</v>
      </c>
      <c r="U48" s="2">
        <f t="shared" si="29"/>
        <v>31.866358333333338</v>
      </c>
      <c r="V48" s="2">
        <f t="shared" si="30"/>
        <v>765.81055311342561</v>
      </c>
      <c r="W48" s="2">
        <f t="shared" si="31"/>
        <v>1.3260000000000012</v>
      </c>
      <c r="X48" s="1">
        <f t="shared" si="32"/>
        <v>23.941666666666407</v>
      </c>
      <c r="Y48" s="1">
        <f t="shared" si="33"/>
        <v>575.3648032407342</v>
      </c>
      <c r="Z48" s="1">
        <f t="shared" si="34"/>
        <v>0.9962434259954821</v>
      </c>
      <c r="AA48" s="1"/>
      <c r="AB48" s="1"/>
      <c r="AC48" s="1"/>
    </row>
    <row r="49" spans="2:29" x14ac:dyDescent="0.25">
      <c r="B49" s="4">
        <f>IF(AND(T_0/(W_0-1)&gt;B48*1.1,T_0/(W_0-1)&lt;B48*1.1^2),T_0/(W_0-1),B48*1.1)</f>
        <v>1586108.3333333323</v>
      </c>
      <c r="C49" s="4">
        <f t="shared" si="35"/>
        <v>343.65680555555537</v>
      </c>
      <c r="D49" s="4">
        <f t="shared" si="18"/>
        <v>9084.6153849729817</v>
      </c>
      <c r="E49" s="2">
        <f t="shared" si="19"/>
        <v>13</v>
      </c>
      <c r="F49" s="1">
        <f t="shared" si="36"/>
        <v>0.28730000000000028</v>
      </c>
      <c r="G49" s="1">
        <f t="shared" si="37"/>
        <v>7.5948154027777797</v>
      </c>
      <c r="H49" s="1">
        <f t="shared" si="38"/>
        <v>1.0868110101769022E-2</v>
      </c>
      <c r="I49" s="2">
        <f>getNeutralFeeOld(baseReward,$B49,W_0)*T_0*$C49</f>
        <v>0.28730000000000028</v>
      </c>
      <c r="J49" s="2">
        <f>getNeutralFeeOld(baseReward,$B49,W_0)*T_0*$D49</f>
        <v>7.5948154027777797</v>
      </c>
      <c r="K49" s="2">
        <f>getNeutralFeeOld(baseReward,$B49,W_0)*T_0*$E49</f>
        <v>1.0868110101769022E-2</v>
      </c>
      <c r="L49" s="2">
        <f t="shared" si="20"/>
        <v>0.28730000000000028</v>
      </c>
      <c r="M49" s="2">
        <f t="shared" si="21"/>
        <v>7.5948154027777797</v>
      </c>
      <c r="N49" s="2">
        <f t="shared" si="22"/>
        <v>1.0868110101769022E-2</v>
      </c>
      <c r="O49" s="1">
        <f t="shared" si="23"/>
        <v>0.19622976572638479</v>
      </c>
      <c r="P49" s="1">
        <f t="shared" si="24"/>
        <v>5.1873611111111062</v>
      </c>
      <c r="Q49" s="1">
        <f t="shared" si="25"/>
        <v>7.4230654338972805E-3</v>
      </c>
      <c r="R49" s="1">
        <f t="shared" si="26"/>
        <v>35.052994166666679</v>
      </c>
      <c r="S49" s="1">
        <f t="shared" si="27"/>
        <v>926.630769267245</v>
      </c>
      <c r="T49" s="1">
        <f t="shared" si="28"/>
        <v>1.3260000000000012</v>
      </c>
      <c r="U49" s="2">
        <f t="shared" si="29"/>
        <v>35.052994166666679</v>
      </c>
      <c r="V49" s="2">
        <f t="shared" si="30"/>
        <v>926.630769267245</v>
      </c>
      <c r="W49" s="2">
        <f t="shared" si="31"/>
        <v>1.3260000000000012</v>
      </c>
      <c r="X49" s="1">
        <f t="shared" si="32"/>
        <v>23.941666666666649</v>
      </c>
      <c r="Y49" s="1">
        <f t="shared" si="33"/>
        <v>632.90128356481387</v>
      </c>
      <c r="Z49" s="1">
        <f t="shared" si="34"/>
        <v>0.90567584181408356</v>
      </c>
      <c r="AA49" s="1"/>
      <c r="AB49" s="1"/>
      <c r="AC49" s="1"/>
    </row>
    <row r="50" spans="2:29" x14ac:dyDescent="0.25">
      <c r="B50" s="4">
        <f>IF(AND(T_0/(W_0-1)&gt;B49*1.1,T_0/(W_0-1)&lt;B49*1.1^2),T_0/(W_0-1),B49*1.1)</f>
        <v>1744719.1666666658</v>
      </c>
      <c r="C50" s="4">
        <f t="shared" si="35"/>
        <v>378.02248611111088</v>
      </c>
      <c r="D50" s="4">
        <f t="shared" si="18"/>
        <v>10992.384615817311</v>
      </c>
      <c r="E50" s="2">
        <f t="shared" si="19"/>
        <v>13</v>
      </c>
      <c r="F50" s="1">
        <f t="shared" si="36"/>
        <v>0.28730000000000022</v>
      </c>
      <c r="G50" s="1">
        <f t="shared" si="37"/>
        <v>8.3542969430555587</v>
      </c>
      <c r="H50" s="1">
        <f t="shared" si="38"/>
        <v>9.8801000925172917E-3</v>
      </c>
      <c r="I50" s="2">
        <f>getNeutralFeeOld(baseReward,$B50,W_0)*T_0*$C50</f>
        <v>0.28730000000000022</v>
      </c>
      <c r="J50" s="2">
        <f>getNeutralFeeOld(baseReward,$B50,W_0)*T_0*$D50</f>
        <v>8.3542969430555587</v>
      </c>
      <c r="K50" s="2">
        <f>getNeutralFeeOld(baseReward,$B50,W_0)*T_0*$E50</f>
        <v>9.8801000925172917E-3</v>
      </c>
      <c r="L50" s="2">
        <f t="shared" si="20"/>
        <v>0.28730000000000022</v>
      </c>
      <c r="M50" s="2">
        <f t="shared" si="21"/>
        <v>8.3542969430555587</v>
      </c>
      <c r="N50" s="2">
        <f t="shared" si="22"/>
        <v>9.8801000925172917E-3</v>
      </c>
      <c r="O50" s="1">
        <f t="shared" si="23"/>
        <v>0.1783906961148938</v>
      </c>
      <c r="P50" s="1">
        <f t="shared" si="24"/>
        <v>5.1873611111110653</v>
      </c>
      <c r="Q50" s="1">
        <f t="shared" si="25"/>
        <v>6.134764821402662E-3</v>
      </c>
      <c r="R50" s="1">
        <f t="shared" si="26"/>
        <v>38.558293583333345</v>
      </c>
      <c r="S50" s="1">
        <f t="shared" si="27"/>
        <v>1121.2232308133666</v>
      </c>
      <c r="T50" s="1">
        <f t="shared" si="28"/>
        <v>1.3260000000000012</v>
      </c>
      <c r="U50" s="2">
        <f t="shared" si="29"/>
        <v>38.558293583333345</v>
      </c>
      <c r="V50" s="2">
        <f t="shared" si="30"/>
        <v>1121.2232308133666</v>
      </c>
      <c r="W50" s="2">
        <f t="shared" si="31"/>
        <v>1.3260000000000012</v>
      </c>
      <c r="X50" s="1">
        <f t="shared" si="32"/>
        <v>23.941666666666453</v>
      </c>
      <c r="Y50" s="1">
        <f t="shared" si="33"/>
        <v>696.19141192128973</v>
      </c>
      <c r="Z50" s="1">
        <f t="shared" si="34"/>
        <v>0.82334167437643291</v>
      </c>
      <c r="AA50" s="1"/>
      <c r="AB50" s="1"/>
      <c r="AC50" s="1"/>
    </row>
    <row r="51" spans="2:29" x14ac:dyDescent="0.25">
      <c r="B51" s="4">
        <f>IF(AND(T_0/(W_0-1)&gt;B50*1.1,T_0/(W_0-1)&lt;B50*1.1^2),T_0/(W_0-1),B50*1.1)</f>
        <v>1919191.0833333326</v>
      </c>
      <c r="C51" s="4">
        <f t="shared" si="35"/>
        <v>415.82473472222205</v>
      </c>
      <c r="D51" s="4">
        <f t="shared" si="18"/>
        <v>13300.78538513895</v>
      </c>
      <c r="E51" s="2">
        <f t="shared" si="19"/>
        <v>13</v>
      </c>
      <c r="F51" s="1">
        <f t="shared" si="36"/>
        <v>0.28730000000000022</v>
      </c>
      <c r="G51" s="1">
        <f t="shared" si="37"/>
        <v>9.1897266373611153</v>
      </c>
      <c r="H51" s="1">
        <f t="shared" si="38"/>
        <v>8.9819091750157169E-3</v>
      </c>
      <c r="I51" s="2">
        <f>getNeutralFeeOld(baseReward,$B51,W_0)*T_0*$C51</f>
        <v>0.28730000000000022</v>
      </c>
      <c r="J51" s="2">
        <f>getNeutralFeeOld(baseReward,$B51,W_0)*T_0*$D51</f>
        <v>9.1897266373611153</v>
      </c>
      <c r="K51" s="2">
        <f>getNeutralFeeOld(baseReward,$B51,W_0)*T_0*$E51</f>
        <v>8.9819091750157169E-3</v>
      </c>
      <c r="L51" s="2">
        <f t="shared" si="20"/>
        <v>0.28730000000000022</v>
      </c>
      <c r="M51" s="2">
        <f t="shared" si="21"/>
        <v>9.1897266373611153</v>
      </c>
      <c r="N51" s="2">
        <f t="shared" si="22"/>
        <v>8.9819091750157169E-3</v>
      </c>
      <c r="O51" s="1">
        <f t="shared" si="23"/>
        <v>0.1621733601044523</v>
      </c>
      <c r="P51" s="1">
        <f t="shared" si="24"/>
        <v>5.1873611111111746</v>
      </c>
      <c r="Q51" s="1">
        <f t="shared" si="25"/>
        <v>5.0700535714072632E-3</v>
      </c>
      <c r="R51" s="1">
        <f t="shared" si="26"/>
        <v>42.414122941666683</v>
      </c>
      <c r="S51" s="1">
        <f t="shared" si="27"/>
        <v>1356.680109284174</v>
      </c>
      <c r="T51" s="1">
        <f t="shared" si="28"/>
        <v>1.3260000000000012</v>
      </c>
      <c r="U51" s="2">
        <f t="shared" si="29"/>
        <v>42.414122941666683</v>
      </c>
      <c r="V51" s="2">
        <f t="shared" si="30"/>
        <v>1356.680109284174</v>
      </c>
      <c r="W51" s="2">
        <f t="shared" si="31"/>
        <v>1.3260000000000012</v>
      </c>
      <c r="X51" s="1">
        <f t="shared" si="32"/>
        <v>23.941666666666958</v>
      </c>
      <c r="Y51" s="1">
        <f t="shared" si="33"/>
        <v>765.81055311343493</v>
      </c>
      <c r="Z51" s="1">
        <f t="shared" si="34"/>
        <v>0.74849243125131826</v>
      </c>
      <c r="AA51" s="1"/>
      <c r="AB51" s="1"/>
      <c r="AC51" s="1"/>
    </row>
    <row r="52" spans="2:29" x14ac:dyDescent="0.25">
      <c r="B52" s="4">
        <f>IF(AND(T_0/(W_0-1)&gt;B51*1.1,T_0/(W_0-1)&lt;B51*1.1^2),T_0/(W_0-1),B51*1.1)</f>
        <v>2111110.191666666</v>
      </c>
      <c r="C52" s="4">
        <f t="shared" si="35"/>
        <v>457.40720819444431</v>
      </c>
      <c r="D52" s="4">
        <f t="shared" si="18"/>
        <v>16093.95031601813</v>
      </c>
      <c r="E52" s="2">
        <f t="shared" si="19"/>
        <v>13</v>
      </c>
      <c r="F52" s="1">
        <f t="shared" si="36"/>
        <v>0.28730000000000028</v>
      </c>
      <c r="G52" s="1">
        <f t="shared" si="37"/>
        <v>10.108699301097227</v>
      </c>
      <c r="H52" s="1">
        <f t="shared" si="38"/>
        <v>8.1653719772870163E-3</v>
      </c>
      <c r="I52" s="2">
        <f>getNeutralFeeOld(baseReward,$B52,W_0)*T_0*$C52</f>
        <v>0.28730000000000028</v>
      </c>
      <c r="J52" s="2">
        <f>getNeutralFeeOld(baseReward,$B52,W_0)*T_0*$D52</f>
        <v>10.108699301097227</v>
      </c>
      <c r="K52" s="2">
        <f>getNeutralFeeOld(baseReward,$B52,W_0)*T_0*$E52</f>
        <v>8.1653719772870163E-3</v>
      </c>
      <c r="L52" s="2">
        <f t="shared" si="20"/>
        <v>0.28730000000000028</v>
      </c>
      <c r="M52" s="2">
        <f t="shared" si="21"/>
        <v>10.108699301097227</v>
      </c>
      <c r="N52" s="2">
        <f t="shared" si="22"/>
        <v>8.1653719772870163E-3</v>
      </c>
      <c r="O52" s="1">
        <f t="shared" si="23"/>
        <v>0.14743032736767955</v>
      </c>
      <c r="P52" s="1">
        <f t="shared" si="24"/>
        <v>5.1873611111110209</v>
      </c>
      <c r="Q52" s="1">
        <f t="shared" si="25"/>
        <v>4.1901269185182759E-3</v>
      </c>
      <c r="R52" s="1">
        <f t="shared" si="26"/>
        <v>46.655535235833362</v>
      </c>
      <c r="S52" s="1">
        <f t="shared" si="27"/>
        <v>1641.5829322338507</v>
      </c>
      <c r="T52" s="1">
        <f t="shared" si="28"/>
        <v>1.3260000000000012</v>
      </c>
      <c r="U52" s="2">
        <f t="shared" si="29"/>
        <v>46.655535235833362</v>
      </c>
      <c r="V52" s="2">
        <f t="shared" si="30"/>
        <v>1641.5829322338507</v>
      </c>
      <c r="W52" s="2">
        <f t="shared" si="31"/>
        <v>1.3260000000000012</v>
      </c>
      <c r="X52" s="1">
        <f t="shared" si="32"/>
        <v>23.941666666666254</v>
      </c>
      <c r="Y52" s="1">
        <f t="shared" si="33"/>
        <v>842.3916084247536</v>
      </c>
      <c r="Z52" s="1">
        <f t="shared" si="34"/>
        <v>0.68044766477390561</v>
      </c>
      <c r="AA52" s="1"/>
      <c r="AB52" s="1"/>
      <c r="AC52" s="1"/>
    </row>
    <row r="53" spans="2:29" x14ac:dyDescent="0.25">
      <c r="B53" s="4">
        <f>IF(AND(T_0/(W_0-1)&gt;B52*1.1,T_0/(W_0-1)&lt;B52*1.1^2),T_0/(W_0-1),B52*1.1)</f>
        <v>2322221.210833333</v>
      </c>
      <c r="C53" s="4">
        <f t="shared" si="35"/>
        <v>503.14792901388881</v>
      </c>
      <c r="D53" s="4">
        <f t="shared" si="18"/>
        <v>19473.679882381944</v>
      </c>
      <c r="E53" s="2">
        <f t="shared" si="19"/>
        <v>13</v>
      </c>
      <c r="F53" s="1">
        <f t="shared" si="36"/>
        <v>0.28730000000000028</v>
      </c>
      <c r="G53" s="1">
        <f t="shared" si="37"/>
        <v>11.119569231206953</v>
      </c>
      <c r="H53" s="1">
        <f t="shared" si="38"/>
        <v>7.4230654338972865E-3</v>
      </c>
      <c r="I53" s="2">
        <f>getNeutralFeeOld(baseReward,$B53,W_0)*T_0*$C53</f>
        <v>0.28730000000000028</v>
      </c>
      <c r="J53" s="2">
        <f>getNeutralFeeOld(baseReward,$B53,W_0)*T_0*$D53</f>
        <v>11.119569231206953</v>
      </c>
      <c r="K53" s="2">
        <f>getNeutralFeeOld(baseReward,$B53,W_0)*T_0*$E53</f>
        <v>7.4230654338972865E-3</v>
      </c>
      <c r="L53" s="2">
        <f t="shared" si="20"/>
        <v>0.28730000000000028</v>
      </c>
      <c r="M53" s="2">
        <f t="shared" si="21"/>
        <v>11.119569231206953</v>
      </c>
      <c r="N53" s="2">
        <f t="shared" si="22"/>
        <v>7.4230654338972865E-3</v>
      </c>
      <c r="O53" s="1">
        <f t="shared" si="23"/>
        <v>0.13402757033425799</v>
      </c>
      <c r="P53" s="1">
        <f t="shared" si="24"/>
        <v>5.1873611111111719</v>
      </c>
      <c r="Q53" s="1">
        <f t="shared" si="25"/>
        <v>3.4629148086928888E-3</v>
      </c>
      <c r="R53" s="1">
        <f t="shared" si="26"/>
        <v>51.321088759416703</v>
      </c>
      <c r="S53" s="1">
        <f t="shared" si="27"/>
        <v>1986.31534800296</v>
      </c>
      <c r="T53" s="1">
        <f t="shared" si="28"/>
        <v>1.3260000000000012</v>
      </c>
      <c r="U53" s="2">
        <f t="shared" si="29"/>
        <v>51.321088759416703</v>
      </c>
      <c r="V53" s="2">
        <f t="shared" si="30"/>
        <v>1986.31534800296</v>
      </c>
      <c r="W53" s="2">
        <f t="shared" si="31"/>
        <v>1.3260000000000012</v>
      </c>
      <c r="X53" s="1">
        <f t="shared" si="32"/>
        <v>23.941666666666947</v>
      </c>
      <c r="Y53" s="1">
        <f t="shared" si="33"/>
        <v>926.63076926725603</v>
      </c>
      <c r="Z53" s="1">
        <f t="shared" si="34"/>
        <v>0.61858878615811386</v>
      </c>
      <c r="AA53" s="1"/>
      <c r="AB53" s="1"/>
      <c r="AC53" s="1"/>
    </row>
    <row r="54" spans="2:29" x14ac:dyDescent="0.25">
      <c r="B54" s="4">
        <f>IF(AND(T_0/(W_0-1)&gt;B53*1.1,T_0/(W_0-1)&lt;B53*1.1^2),T_0/(W_0-1),B53*1.1)</f>
        <v>2554443.3319166666</v>
      </c>
      <c r="C54" s="4">
        <f t="shared" si="35"/>
        <v>553.46272191527783</v>
      </c>
      <c r="D54" s="4">
        <f t="shared" si="18"/>
        <v>23563.152657682163</v>
      </c>
      <c r="E54" s="2">
        <f t="shared" si="19"/>
        <v>13</v>
      </c>
      <c r="F54" s="1">
        <f t="shared" si="36"/>
        <v>0.28730000000000028</v>
      </c>
      <c r="G54" s="1">
        <f t="shared" si="37"/>
        <v>12.231526154327652</v>
      </c>
      <c r="H54" s="1">
        <f t="shared" si="38"/>
        <v>6.7482413035429862E-3</v>
      </c>
      <c r="I54" s="2">
        <f>getNeutralFeeOld(baseReward,$B54,W_0)*T_0*$C54</f>
        <v>0.28730000000000028</v>
      </c>
      <c r="J54" s="2">
        <f>getNeutralFeeOld(baseReward,$B54,W_0)*T_0*$D54</f>
        <v>12.231526154327652</v>
      </c>
      <c r="K54" s="2">
        <f>getNeutralFeeOld(baseReward,$B54,W_0)*T_0*$E54</f>
        <v>6.7482413035429862E-3</v>
      </c>
      <c r="L54" s="2">
        <f t="shared" si="20"/>
        <v>0.28730000000000028</v>
      </c>
      <c r="M54" s="2">
        <f t="shared" si="21"/>
        <v>12.231526154327652</v>
      </c>
      <c r="N54" s="2">
        <f t="shared" si="22"/>
        <v>6.7482413035429862E-3</v>
      </c>
      <c r="O54" s="1">
        <f t="shared" si="23"/>
        <v>0.12184324575841252</v>
      </c>
      <c r="P54" s="1">
        <f t="shared" si="24"/>
        <v>5.1873611111110094</v>
      </c>
      <c r="Q54" s="1">
        <f t="shared" si="25"/>
        <v>2.8619130650353545E-3</v>
      </c>
      <c r="R54" s="1">
        <f t="shared" si="26"/>
        <v>56.453197635358386</v>
      </c>
      <c r="S54" s="1">
        <f t="shared" si="27"/>
        <v>2403.4415710835829</v>
      </c>
      <c r="T54" s="1">
        <f t="shared" si="28"/>
        <v>1.3260000000000012</v>
      </c>
      <c r="U54" s="2">
        <f t="shared" si="29"/>
        <v>56.453197635358386</v>
      </c>
      <c r="V54" s="2">
        <f t="shared" si="30"/>
        <v>2403.4415710835829</v>
      </c>
      <c r="W54" s="2">
        <f t="shared" si="31"/>
        <v>1.3260000000000012</v>
      </c>
      <c r="X54" s="1">
        <f t="shared" si="32"/>
        <v>23.941666666666194</v>
      </c>
      <c r="Y54" s="1">
        <f t="shared" si="33"/>
        <v>1019.2938461939498</v>
      </c>
      <c r="Z54" s="1">
        <f t="shared" si="34"/>
        <v>0.56235344196190384</v>
      </c>
      <c r="AA54" s="1"/>
      <c r="AB54" s="1"/>
      <c r="AC54" s="1"/>
    </row>
    <row r="55" spans="2:29" x14ac:dyDescent="0.25">
      <c r="B55" s="4">
        <f>IF(AND(T_0/(W_0-1)&gt;B54*1.1,T_0/(W_0-1)&lt;B54*1.1^2),T_0/(W_0-1),B54*1.1)</f>
        <v>2809887.6651083333</v>
      </c>
      <c r="C55" s="4">
        <f t="shared" si="35"/>
        <v>608.80899410680559</v>
      </c>
      <c r="D55" s="4">
        <f t="shared" si="18"/>
        <v>28511.414715795418</v>
      </c>
      <c r="E55" s="2">
        <f t="shared" si="19"/>
        <v>13</v>
      </c>
      <c r="F55" s="1">
        <f t="shared" si="36"/>
        <v>0.28730000000000022</v>
      </c>
      <c r="G55" s="1">
        <f t="shared" si="37"/>
        <v>13.454678769760415</v>
      </c>
      <c r="H55" s="1">
        <f t="shared" si="38"/>
        <v>6.1347648214027141E-3</v>
      </c>
      <c r="I55" s="2">
        <f>getNeutralFeeOld(baseReward,$B55,W_0)*T_0*$C55</f>
        <v>0.28730000000000022</v>
      </c>
      <c r="J55" s="2">
        <f>getNeutralFeeOld(baseReward,$B55,W_0)*T_0*$D55</f>
        <v>13.454678769760415</v>
      </c>
      <c r="K55" s="2">
        <f>getNeutralFeeOld(baseReward,$B55,W_0)*T_0*$E55</f>
        <v>6.1347648214027141E-3</v>
      </c>
      <c r="L55" s="2">
        <f t="shared" si="20"/>
        <v>0.28730000000000022</v>
      </c>
      <c r="M55" s="2">
        <f t="shared" si="21"/>
        <v>13.454678769760415</v>
      </c>
      <c r="N55" s="2">
        <f t="shared" si="22"/>
        <v>6.1347648214027141E-3</v>
      </c>
      <c r="O55" s="1">
        <f t="shared" si="23"/>
        <v>0.11076658705310229</v>
      </c>
      <c r="P55" s="1">
        <f t="shared" si="24"/>
        <v>5.1873611111110085</v>
      </c>
      <c r="Q55" s="1">
        <f t="shared" si="25"/>
        <v>2.3652174091201277E-3</v>
      </c>
      <c r="R55" s="1">
        <f t="shared" si="26"/>
        <v>62.098517398894217</v>
      </c>
      <c r="S55" s="1">
        <f t="shared" si="27"/>
        <v>2908.1643010111347</v>
      </c>
      <c r="T55" s="1">
        <f t="shared" si="28"/>
        <v>1.326000000000001</v>
      </c>
      <c r="U55" s="2">
        <f t="shared" si="29"/>
        <v>62.098517398894217</v>
      </c>
      <c r="V55" s="2">
        <f t="shared" si="30"/>
        <v>2908.1643010111347</v>
      </c>
      <c r="W55" s="2">
        <f t="shared" si="31"/>
        <v>1.326000000000001</v>
      </c>
      <c r="X55" s="1">
        <f t="shared" si="32"/>
        <v>23.941666666666194</v>
      </c>
      <c r="Y55" s="1">
        <f t="shared" si="33"/>
        <v>1121.2232308133448</v>
      </c>
      <c r="Z55" s="1">
        <f t="shared" si="34"/>
        <v>0.51123040178354895</v>
      </c>
      <c r="AA55" s="1"/>
      <c r="AB55" s="1"/>
      <c r="AC55" s="1"/>
    </row>
    <row r="56" spans="2:29" x14ac:dyDescent="0.25">
      <c r="B56" s="4">
        <f>IF(AND(T_0/(W_0-1)&gt;B55*1.1,T_0/(W_0-1)&lt;B55*1.1^2),T_0/(W_0-1),B55*1.1)</f>
        <v>3090876.4316191669</v>
      </c>
      <c r="C56" s="4">
        <f t="shared" si="35"/>
        <v>669.6898935174861</v>
      </c>
      <c r="D56" s="4">
        <f t="shared" si="18"/>
        <v>34498.811806112455</v>
      </c>
      <c r="E56" s="2">
        <f t="shared" si="19"/>
        <v>13</v>
      </c>
      <c r="F56" s="1">
        <f t="shared" si="36"/>
        <v>0.28730000000000022</v>
      </c>
      <c r="G56" s="1">
        <f t="shared" si="37"/>
        <v>14.800146646736456</v>
      </c>
      <c r="H56" s="1">
        <f t="shared" si="38"/>
        <v>5.5770589285479219E-3</v>
      </c>
      <c r="I56" s="2">
        <f>getNeutralFeeOld(baseReward,$B56,W_0)*T_0*$C56</f>
        <v>0.28730000000000022</v>
      </c>
      <c r="J56" s="2">
        <f>getNeutralFeeOld(baseReward,$B56,W_0)*T_0*$D56</f>
        <v>14.800146646736456</v>
      </c>
      <c r="K56" s="2">
        <f>getNeutralFeeOld(baseReward,$B56,W_0)*T_0*$E56</f>
        <v>5.5770589285479219E-3</v>
      </c>
      <c r="L56" s="2">
        <f t="shared" si="20"/>
        <v>0.28730000000000022</v>
      </c>
      <c r="M56" s="2">
        <f t="shared" si="21"/>
        <v>14.800146646736456</v>
      </c>
      <c r="N56" s="2">
        <f t="shared" si="22"/>
        <v>5.5770589285479219E-3</v>
      </c>
      <c r="O56" s="1">
        <f t="shared" si="23"/>
        <v>0.10069689732100207</v>
      </c>
      <c r="P56" s="1">
        <f t="shared" si="24"/>
        <v>5.1873611111110085</v>
      </c>
      <c r="Q56" s="1">
        <f t="shared" si="25"/>
        <v>1.9547251315042372E-3</v>
      </c>
      <c r="R56" s="1">
        <f t="shared" si="26"/>
        <v>68.308369138783647</v>
      </c>
      <c r="S56" s="1">
        <f t="shared" si="27"/>
        <v>3518.8788042234737</v>
      </c>
      <c r="T56" s="1">
        <f t="shared" si="28"/>
        <v>1.3260000000000012</v>
      </c>
      <c r="U56" s="2">
        <f t="shared" si="29"/>
        <v>68.308369138783647</v>
      </c>
      <c r="V56" s="2">
        <f t="shared" si="30"/>
        <v>3518.8788042234737</v>
      </c>
      <c r="W56" s="2">
        <f t="shared" si="31"/>
        <v>1.3260000000000012</v>
      </c>
      <c r="X56" s="1">
        <f t="shared" si="32"/>
        <v>23.94166666666619</v>
      </c>
      <c r="Y56" s="1">
        <f t="shared" si="33"/>
        <v>1233.3455538946791</v>
      </c>
      <c r="Z56" s="1">
        <f t="shared" si="34"/>
        <v>0.46475491071231723</v>
      </c>
      <c r="AA56" s="1"/>
      <c r="AB56" s="1"/>
      <c r="AC56" s="1"/>
    </row>
    <row r="57" spans="2:29" x14ac:dyDescent="0.25">
      <c r="B57" s="4">
        <f>IF(AND(T_0/(W_0-1)&gt;B56*1.1,T_0/(W_0-1)&lt;B56*1.1^2),T_0/(W_0-1),B56*1.1)</f>
        <v>3399964.074781084</v>
      </c>
      <c r="C57" s="4">
        <f t="shared" si="35"/>
        <v>736.65888286923484</v>
      </c>
      <c r="D57" s="4">
        <f t="shared" si="18"/>
        <v>41743.562285396089</v>
      </c>
      <c r="E57" s="2">
        <f t="shared" si="19"/>
        <v>13</v>
      </c>
      <c r="F57" s="1">
        <f t="shared" si="36"/>
        <v>0.28730000000000022</v>
      </c>
      <c r="G57" s="1">
        <f t="shared" si="37"/>
        <v>16.280161311410104</v>
      </c>
      <c r="H57" s="1">
        <f t="shared" si="38"/>
        <v>5.0700535714072008E-3</v>
      </c>
      <c r="I57" s="2">
        <f>getNeutralFeeOld(baseReward,$B57,W_0)*T_0*$C57</f>
        <v>0.28730000000000022</v>
      </c>
      <c r="J57" s="2">
        <f>getNeutralFeeOld(baseReward,$B57,W_0)*T_0*$D57</f>
        <v>16.280161311410104</v>
      </c>
      <c r="K57" s="2">
        <f>getNeutralFeeOld(baseReward,$B57,W_0)*T_0*$E57</f>
        <v>5.0700535714072008E-3</v>
      </c>
      <c r="L57" s="2">
        <f t="shared" si="20"/>
        <v>0.28730000000000022</v>
      </c>
      <c r="M57" s="2">
        <f t="shared" si="21"/>
        <v>16.280161311410104</v>
      </c>
      <c r="N57" s="2">
        <f t="shared" si="22"/>
        <v>5.0700535714072008E-3</v>
      </c>
      <c r="O57" s="1">
        <f t="shared" si="23"/>
        <v>9.1542633928183209E-2</v>
      </c>
      <c r="P57" s="1">
        <f t="shared" si="24"/>
        <v>5.1873611111109819</v>
      </c>
      <c r="Q57" s="1">
        <f t="shared" si="25"/>
        <v>1.6154753152927493E-3</v>
      </c>
      <c r="R57" s="1">
        <f t="shared" si="26"/>
        <v>75.139206052662004</v>
      </c>
      <c r="S57" s="1">
        <f t="shared" si="27"/>
        <v>4257.8433531104047</v>
      </c>
      <c r="T57" s="1">
        <f t="shared" si="28"/>
        <v>1.326000000000001</v>
      </c>
      <c r="U57" s="2">
        <f t="shared" si="29"/>
        <v>75.139206052662004</v>
      </c>
      <c r="V57" s="2">
        <f t="shared" si="30"/>
        <v>4257.8433531104047</v>
      </c>
      <c r="W57" s="2">
        <f t="shared" si="31"/>
        <v>1.326000000000001</v>
      </c>
      <c r="X57" s="1">
        <f t="shared" si="32"/>
        <v>23.94166666666607</v>
      </c>
      <c r="Y57" s="1">
        <f t="shared" si="33"/>
        <v>1356.6801092841406</v>
      </c>
      <c r="Z57" s="1">
        <f t="shared" si="34"/>
        <v>0.42250446428392252</v>
      </c>
      <c r="AA57" s="1"/>
      <c r="AB57" s="1"/>
      <c r="AC57" s="1"/>
    </row>
    <row r="58" spans="2:29" x14ac:dyDescent="0.25">
      <c r="B58" s="4">
        <f>IF(AND(T_0/(W_0-1)&gt;B57*1.1,T_0/(W_0-1)&lt;B57*1.1^2),T_0/(W_0-1),B57*1.1)</f>
        <v>3739960.4822591925</v>
      </c>
      <c r="C58" s="4">
        <f t="shared" si="35"/>
        <v>810.32477115615836</v>
      </c>
      <c r="D58" s="4">
        <f t="shared" si="18"/>
        <v>50509.710365329272</v>
      </c>
      <c r="E58" s="2">
        <f t="shared" si="19"/>
        <v>13</v>
      </c>
      <c r="F58" s="1">
        <f t="shared" si="36"/>
        <v>0.28730000000000028</v>
      </c>
      <c r="G58" s="1">
        <f t="shared" si="37"/>
        <v>17.908177442551118</v>
      </c>
      <c r="H58" s="1">
        <f t="shared" si="38"/>
        <v>4.6091396103701832E-3</v>
      </c>
      <c r="I58" s="2">
        <f>getNeutralFeeOld(baseReward,$B58,W_0)*T_0*$C58</f>
        <v>0.28730000000000028</v>
      </c>
      <c r="J58" s="2">
        <f>getNeutralFeeOld(baseReward,$B58,W_0)*T_0*$D58</f>
        <v>17.908177442551118</v>
      </c>
      <c r="K58" s="2">
        <f>getNeutralFeeOld(baseReward,$B58,W_0)*T_0*$E58</f>
        <v>4.6091396103701832E-3</v>
      </c>
      <c r="L58" s="2">
        <f t="shared" si="20"/>
        <v>0.28730000000000028</v>
      </c>
      <c r="M58" s="2">
        <f t="shared" si="21"/>
        <v>17.908177442551118</v>
      </c>
      <c r="N58" s="2">
        <f t="shared" si="22"/>
        <v>4.6091396103701832E-3</v>
      </c>
      <c r="O58" s="1">
        <f t="shared" si="23"/>
        <v>8.3220576298351279E-2</v>
      </c>
      <c r="P58" s="1">
        <f t="shared" si="24"/>
        <v>5.1873611111111639</v>
      </c>
      <c r="Q58" s="1">
        <f t="shared" si="25"/>
        <v>1.3351035663576908E-3</v>
      </c>
      <c r="R58" s="1">
        <f t="shared" si="26"/>
        <v>82.653126657928226</v>
      </c>
      <c r="S58" s="1">
        <f t="shared" si="27"/>
        <v>5151.9904572635905</v>
      </c>
      <c r="T58" s="1">
        <f t="shared" si="28"/>
        <v>1.3260000000000012</v>
      </c>
      <c r="U58" s="2">
        <f t="shared" si="29"/>
        <v>82.653126657928226</v>
      </c>
      <c r="V58" s="2">
        <f t="shared" si="30"/>
        <v>5151.9904572635905</v>
      </c>
      <c r="W58" s="2">
        <f t="shared" si="31"/>
        <v>1.3260000000000012</v>
      </c>
      <c r="X58" s="1">
        <f t="shared" si="32"/>
        <v>23.941666666666904</v>
      </c>
      <c r="Y58" s="1">
        <f t="shared" si="33"/>
        <v>1492.3481202126068</v>
      </c>
      <c r="Z58" s="1">
        <f t="shared" si="34"/>
        <v>0.38409496753085204</v>
      </c>
      <c r="AA58" s="1"/>
      <c r="AB58" s="1"/>
      <c r="AC58" s="1"/>
    </row>
    <row r="59" spans="2:29" x14ac:dyDescent="0.25">
      <c r="B59" s="4">
        <f>IF(AND(T_0/(W_0-1)&gt;B58*1.1,T_0/(W_0-1)&lt;B58*1.1^2),T_0/(W_0-1),B58*1.1)</f>
        <v>4113956.5304851122</v>
      </c>
      <c r="C59" s="4">
        <f t="shared" si="35"/>
        <v>891.35724827177432</v>
      </c>
      <c r="D59" s="4">
        <f t="shared" si="18"/>
        <v>61116.749542048412</v>
      </c>
      <c r="E59" s="2">
        <f t="shared" si="19"/>
        <v>13</v>
      </c>
      <c r="F59" s="1">
        <f t="shared" si="36"/>
        <v>0.28730000000000028</v>
      </c>
      <c r="G59" s="1">
        <f t="shared" si="37"/>
        <v>19.698995186806226</v>
      </c>
      <c r="H59" s="1">
        <f t="shared" si="38"/>
        <v>4.1901269185183479E-3</v>
      </c>
      <c r="I59" s="2">
        <f>getNeutralFeeOld(baseReward,$B59,W_0)*T_0*$C59</f>
        <v>0.28730000000000028</v>
      </c>
      <c r="J59" s="2">
        <f>getNeutralFeeOld(baseReward,$B59,W_0)*T_0*$D59</f>
        <v>19.698995186806226</v>
      </c>
      <c r="K59" s="2">
        <f>getNeutralFeeOld(baseReward,$B59,W_0)*T_0*$E59</f>
        <v>4.1901269185183479E-3</v>
      </c>
      <c r="L59" s="2">
        <f t="shared" si="20"/>
        <v>0.28730000000000028</v>
      </c>
      <c r="M59" s="2">
        <f t="shared" si="21"/>
        <v>19.698995186806226</v>
      </c>
      <c r="N59" s="2">
        <f t="shared" si="22"/>
        <v>4.1901269185183479E-3</v>
      </c>
      <c r="O59" s="1">
        <f t="shared" si="23"/>
        <v>7.5655069362134619E-2</v>
      </c>
      <c r="P59" s="1">
        <f t="shared" si="24"/>
        <v>5.1873611111109632</v>
      </c>
      <c r="Q59" s="1">
        <f t="shared" si="25"/>
        <v>1.1033913771550737E-3</v>
      </c>
      <c r="R59" s="1">
        <f t="shared" si="26"/>
        <v>90.91843932372106</v>
      </c>
      <c r="S59" s="1">
        <f t="shared" si="27"/>
        <v>6233.9084532889437</v>
      </c>
      <c r="T59" s="1">
        <f t="shared" si="28"/>
        <v>1.3260000000000012</v>
      </c>
      <c r="U59" s="2">
        <f t="shared" si="29"/>
        <v>90.91843932372106</v>
      </c>
      <c r="V59" s="2">
        <f t="shared" si="30"/>
        <v>6233.9084532889437</v>
      </c>
      <c r="W59" s="2">
        <f t="shared" si="31"/>
        <v>1.3260000000000012</v>
      </c>
      <c r="X59" s="1">
        <f t="shared" si="32"/>
        <v>23.941666666665991</v>
      </c>
      <c r="Y59" s="1">
        <f t="shared" si="33"/>
        <v>1641.5829322338043</v>
      </c>
      <c r="Z59" s="1">
        <f t="shared" si="34"/>
        <v>0.34917724320985211</v>
      </c>
      <c r="AA59" s="1"/>
      <c r="AB59" s="1"/>
      <c r="AC59" s="1"/>
    </row>
    <row r="60" spans="2:29" x14ac:dyDescent="0.25">
      <c r="B60" s="4">
        <f>IF(AND(T_0/(W_0-1)&gt;B59*1.1,T_0/(W_0-1)&lt;B59*1.1^2),T_0/(W_0-1),B59*1.1)</f>
        <v>4525352.1835336238</v>
      </c>
      <c r="C60" s="4">
        <f t="shared" si="35"/>
        <v>980.49297309895178</v>
      </c>
      <c r="D60" s="4">
        <f t="shared" si="18"/>
        <v>73951.266945878597</v>
      </c>
      <c r="E60" s="2">
        <f t="shared" si="19"/>
        <v>13</v>
      </c>
      <c r="F60" s="1">
        <f t="shared" si="36"/>
        <v>0.28730000000000028</v>
      </c>
      <c r="G60" s="1">
        <f t="shared" si="37"/>
        <v>21.668894705486853</v>
      </c>
      <c r="H60" s="1">
        <f t="shared" si="38"/>
        <v>3.8092062895621341E-3</v>
      </c>
      <c r="I60" s="2">
        <f>getNeutralFeeOld(baseReward,$B60,W_0)*T_0*$C60</f>
        <v>0.28730000000000028</v>
      </c>
      <c r="J60" s="2">
        <f>getNeutralFeeOld(baseReward,$B60,W_0)*T_0*$D60</f>
        <v>21.668894705486853</v>
      </c>
      <c r="K60" s="2">
        <f>getNeutralFeeOld(baseReward,$B60,W_0)*T_0*$E60</f>
        <v>3.8092062895621341E-3</v>
      </c>
      <c r="L60" s="2">
        <f t="shared" si="20"/>
        <v>0.28730000000000028</v>
      </c>
      <c r="M60" s="2">
        <f t="shared" si="21"/>
        <v>21.668894705486853</v>
      </c>
      <c r="N60" s="2">
        <f t="shared" si="22"/>
        <v>3.8092062895621341E-3</v>
      </c>
      <c r="O60" s="1">
        <f t="shared" si="23"/>
        <v>6.8777335783760205E-2</v>
      </c>
      <c r="P60" s="1">
        <f t="shared" si="24"/>
        <v>5.1873611111110742</v>
      </c>
      <c r="Q60" s="1">
        <f t="shared" si="25"/>
        <v>9.1189370012817938E-4</v>
      </c>
      <c r="R60" s="1">
        <f t="shared" si="26"/>
        <v>100.01028325609317</v>
      </c>
      <c r="S60" s="1">
        <f t="shared" si="27"/>
        <v>7543.0292284796233</v>
      </c>
      <c r="T60" s="1">
        <f t="shared" si="28"/>
        <v>1.3260000000000012</v>
      </c>
      <c r="U60" s="2">
        <f t="shared" si="29"/>
        <v>100.01028325609317</v>
      </c>
      <c r="V60" s="2">
        <f t="shared" si="30"/>
        <v>7543.0292284796233</v>
      </c>
      <c r="W60" s="2">
        <f t="shared" si="31"/>
        <v>1.3260000000000012</v>
      </c>
      <c r="X60" s="1">
        <f t="shared" si="32"/>
        <v>23.941666666666496</v>
      </c>
      <c r="Y60" s="1">
        <f t="shared" si="33"/>
        <v>1805.7412254572232</v>
      </c>
      <c r="Z60" s="1">
        <f t="shared" si="34"/>
        <v>0.31743385746350861</v>
      </c>
      <c r="AA60" s="1"/>
      <c r="AB60" s="1"/>
      <c r="AC60" s="1"/>
    </row>
    <row r="61" spans="2:29" x14ac:dyDescent="0.25">
      <c r="B61" s="4">
        <f>IF(AND(T_0/(W_0-1)&gt;B60*1.1,T_0/(W_0-1)&lt;B60*1.1^2),T_0/(W_0-1),B60*1.1)</f>
        <v>4977887.4018869866</v>
      </c>
      <c r="C61" s="4">
        <f t="shared" si="35"/>
        <v>1078.5422704088471</v>
      </c>
      <c r="D61" s="4">
        <f t="shared" si="18"/>
        <v>89481.033004513141</v>
      </c>
      <c r="E61" s="2">
        <f t="shared" si="19"/>
        <v>13</v>
      </c>
      <c r="F61" s="1">
        <f t="shared" si="36"/>
        <v>0.28730000000000028</v>
      </c>
      <c r="G61" s="1">
        <f t="shared" si="37"/>
        <v>23.835784176035549</v>
      </c>
      <c r="H61" s="1">
        <f t="shared" si="38"/>
        <v>3.4629148086928489E-3</v>
      </c>
      <c r="I61" s="2">
        <f>getNeutralFeeOld(baseReward,$B61,W_0)*T_0*$C61</f>
        <v>0.28730000000000028</v>
      </c>
      <c r="J61" s="2">
        <f>getNeutralFeeOld(baseReward,$B61,W_0)*T_0*$D61</f>
        <v>23.835784176035549</v>
      </c>
      <c r="K61" s="2">
        <f>getNeutralFeeOld(baseReward,$B61,W_0)*T_0*$E61</f>
        <v>3.4629148086928489E-3</v>
      </c>
      <c r="L61" s="2">
        <f t="shared" si="20"/>
        <v>0.28730000000000028</v>
      </c>
      <c r="M61" s="2">
        <f t="shared" si="21"/>
        <v>23.835784176035549</v>
      </c>
      <c r="N61" s="2">
        <f t="shared" si="22"/>
        <v>3.4629148086928489E-3</v>
      </c>
      <c r="O61" s="1">
        <f t="shared" si="23"/>
        <v>6.2524850712511196E-2</v>
      </c>
      <c r="P61" s="1">
        <f t="shared" si="24"/>
        <v>5.187361111111235</v>
      </c>
      <c r="Q61" s="1">
        <f t="shared" si="25"/>
        <v>7.5363115713074987E-4</v>
      </c>
      <c r="R61" s="1">
        <f t="shared" si="26"/>
        <v>110.0113115817025</v>
      </c>
      <c r="S61" s="1">
        <f t="shared" si="27"/>
        <v>9127.0653664603487</v>
      </c>
      <c r="T61" s="1">
        <f t="shared" si="28"/>
        <v>1.3260000000000012</v>
      </c>
      <c r="U61" s="2">
        <f t="shared" si="29"/>
        <v>110.0113115817025</v>
      </c>
      <c r="V61" s="2">
        <f t="shared" si="30"/>
        <v>9127.0653664603487</v>
      </c>
      <c r="W61" s="2">
        <f t="shared" si="31"/>
        <v>1.3260000000000012</v>
      </c>
      <c r="X61" s="1">
        <f t="shared" si="32"/>
        <v>23.941666666667235</v>
      </c>
      <c r="Y61" s="1">
        <f t="shared" si="33"/>
        <v>1986.3153480030076</v>
      </c>
      <c r="Z61" s="1">
        <f t="shared" si="34"/>
        <v>0.28857623405774396</v>
      </c>
      <c r="AA61" s="1"/>
      <c r="AB61" s="1"/>
      <c r="AC61" s="1"/>
    </row>
    <row r="62" spans="2:29" x14ac:dyDescent="0.25">
      <c r="B62" s="4">
        <f>IF(AND(T_0/(W_0-1)&gt;B61*1.1,T_0/(W_0-1)&lt;B61*1.1^2),T_0/(W_0-1),B61*1.1)</f>
        <v>5475676.1420756858</v>
      </c>
      <c r="C62" s="4">
        <f t="shared" si="35"/>
        <v>1186.3964974497319</v>
      </c>
      <c r="D62" s="4">
        <f t="shared" si="18"/>
        <v>108272.04993546091</v>
      </c>
      <c r="E62" s="2">
        <f t="shared" si="19"/>
        <v>13</v>
      </c>
      <c r="F62" s="1">
        <f t="shared" si="36"/>
        <v>0.28730000000000022</v>
      </c>
      <c r="G62" s="1">
        <f t="shared" si="37"/>
        <v>26.219362593639097</v>
      </c>
      <c r="H62" s="1">
        <f t="shared" si="38"/>
        <v>3.1481043715389529E-3</v>
      </c>
      <c r="I62" s="2">
        <f>getNeutralFeeOld(baseReward,$B62,W_0)*T_0*$C62</f>
        <v>0.28730000000000022</v>
      </c>
      <c r="J62" s="2">
        <f>getNeutralFeeOld(baseReward,$B62,W_0)*T_0*$D62</f>
        <v>26.219362593639097</v>
      </c>
      <c r="K62" s="2">
        <f>getNeutralFeeOld(baseReward,$B62,W_0)*T_0*$E62</f>
        <v>3.1481043715389529E-3</v>
      </c>
      <c r="L62" s="2">
        <f t="shared" si="20"/>
        <v>0.28730000000000022</v>
      </c>
      <c r="M62" s="2">
        <f t="shared" si="21"/>
        <v>26.219362593639097</v>
      </c>
      <c r="N62" s="2">
        <f t="shared" si="22"/>
        <v>3.1481043715389529E-3</v>
      </c>
      <c r="O62" s="1">
        <f t="shared" si="23"/>
        <v>5.6840773375010666E-2</v>
      </c>
      <c r="P62" s="1">
        <f t="shared" si="24"/>
        <v>5.1873611111112794</v>
      </c>
      <c r="Q62" s="1">
        <f t="shared" si="25"/>
        <v>6.228356670502118E-4</v>
      </c>
      <c r="R62" s="1">
        <f t="shared" si="26"/>
        <v>121.01244273987277</v>
      </c>
      <c r="S62" s="1">
        <f t="shared" si="27"/>
        <v>11043.749093417022</v>
      </c>
      <c r="T62" s="1">
        <f t="shared" si="28"/>
        <v>1.3260000000000012</v>
      </c>
      <c r="U62" s="2">
        <f t="shared" si="29"/>
        <v>121.01244273987277</v>
      </c>
      <c r="V62" s="2">
        <f t="shared" si="30"/>
        <v>11043.749093417022</v>
      </c>
      <c r="W62" s="2">
        <f t="shared" si="31"/>
        <v>1.3260000000000012</v>
      </c>
      <c r="X62" s="1">
        <f t="shared" si="32"/>
        <v>23.941666666667444</v>
      </c>
      <c r="Y62" s="1">
        <f t="shared" si="33"/>
        <v>2184.9468828033273</v>
      </c>
      <c r="Z62" s="1">
        <f t="shared" si="34"/>
        <v>0.2623420309615877</v>
      </c>
      <c r="AA62" s="1"/>
      <c r="AB62" s="1"/>
      <c r="AC62" s="1"/>
    </row>
    <row r="63" spans="2:29" x14ac:dyDescent="0.25">
      <c r="B63" s="4">
        <f>IF(AND(T_0/(W_0-1)&gt;B62*1.1,T_0/(W_0-1)&lt;B62*1.1^2),T_0/(W_0-1),B62*1.1)</f>
        <v>6023243.7562832553</v>
      </c>
      <c r="C63" s="4">
        <f t="shared" si="35"/>
        <v>1305.0361471947053</v>
      </c>
      <c r="D63" s="4">
        <f t="shared" si="18"/>
        <v>131009.18042190772</v>
      </c>
      <c r="E63" s="2">
        <f t="shared" si="19"/>
        <v>13</v>
      </c>
      <c r="F63" s="1">
        <f t="shared" si="36"/>
        <v>0.28730000000000028</v>
      </c>
      <c r="G63" s="1">
        <f t="shared" si="37"/>
        <v>28.841298853003011</v>
      </c>
      <c r="H63" s="1">
        <f t="shared" si="38"/>
        <v>2.8619130650354117E-3</v>
      </c>
      <c r="I63" s="2">
        <f>getNeutralFeeOld(baseReward,$B63,W_0)*T_0*$C63</f>
        <v>0.28730000000000028</v>
      </c>
      <c r="J63" s="2">
        <f>getNeutralFeeOld(baseReward,$B63,W_0)*T_0*$D63</f>
        <v>28.841298853003011</v>
      </c>
      <c r="K63" s="2">
        <f>getNeutralFeeOld(baseReward,$B63,W_0)*T_0*$E63</f>
        <v>2.8619130650354117E-3</v>
      </c>
      <c r="L63" s="2">
        <f t="shared" si="20"/>
        <v>0.28730000000000028</v>
      </c>
      <c r="M63" s="2">
        <f t="shared" si="21"/>
        <v>28.841298853003011</v>
      </c>
      <c r="N63" s="2">
        <f t="shared" si="22"/>
        <v>2.8619130650354117E-3</v>
      </c>
      <c r="O63" s="1">
        <f t="shared" si="23"/>
        <v>5.1673430340915406E-2</v>
      </c>
      <c r="P63" s="1">
        <f t="shared" si="24"/>
        <v>5.1873611111109401</v>
      </c>
      <c r="Q63" s="1">
        <f t="shared" si="25"/>
        <v>5.1474022070262064E-4</v>
      </c>
      <c r="R63" s="1">
        <f t="shared" si="26"/>
        <v>133.11368701386007</v>
      </c>
      <c r="S63" s="1">
        <f t="shared" si="27"/>
        <v>13362.936403034599</v>
      </c>
      <c r="T63" s="1">
        <f t="shared" si="28"/>
        <v>1.3260000000000012</v>
      </c>
      <c r="U63" s="2">
        <f t="shared" si="29"/>
        <v>133.11368701386007</v>
      </c>
      <c r="V63" s="2">
        <f t="shared" si="30"/>
        <v>13362.936403034599</v>
      </c>
      <c r="W63" s="2">
        <f t="shared" si="31"/>
        <v>1.3260000000000012</v>
      </c>
      <c r="X63" s="1">
        <f t="shared" si="32"/>
        <v>23.941666666665881</v>
      </c>
      <c r="Y63" s="1">
        <f t="shared" si="33"/>
        <v>2403.4415710835028</v>
      </c>
      <c r="Z63" s="1">
        <f t="shared" si="34"/>
        <v>0.23849275541960957</v>
      </c>
      <c r="AA63" s="1"/>
      <c r="AB63" s="1"/>
      <c r="AC63" s="1"/>
    </row>
    <row r="64" spans="2:29" x14ac:dyDescent="0.25">
      <c r="B64" s="4">
        <f>IF(AND(T_0/(W_0-1)&gt;B63*1.1,T_0/(W_0-1)&lt;B63*1.1^2),T_0/(W_0-1),B63*1.1)</f>
        <v>6625568.1319115814</v>
      </c>
      <c r="C64" s="4">
        <f t="shared" si="35"/>
        <v>1435.5397619141759</v>
      </c>
      <c r="D64" s="4">
        <f t="shared" si="18"/>
        <v>158521.10831050837</v>
      </c>
      <c r="E64" s="2">
        <f t="shared" si="19"/>
        <v>13</v>
      </c>
      <c r="F64" s="1">
        <f t="shared" si="36"/>
        <v>0.28730000000000028</v>
      </c>
      <c r="G64" s="1">
        <f t="shared" si="37"/>
        <v>31.725428738303318</v>
      </c>
      <c r="H64" s="1">
        <f t="shared" si="38"/>
        <v>2.6017391500321924E-3</v>
      </c>
      <c r="I64" s="2">
        <f>getNeutralFeeOld(baseReward,$B64,W_0)*T_0*$C64</f>
        <v>0.28730000000000028</v>
      </c>
      <c r="J64" s="2">
        <f>getNeutralFeeOld(baseReward,$B64,W_0)*T_0*$D64</f>
        <v>31.725428738303318</v>
      </c>
      <c r="K64" s="2">
        <f>getNeutralFeeOld(baseReward,$B64,W_0)*T_0*$E64</f>
        <v>2.6017391500321924E-3</v>
      </c>
      <c r="L64" s="2">
        <f t="shared" si="20"/>
        <v>0.28730000000000028</v>
      </c>
      <c r="M64" s="2">
        <f t="shared" si="21"/>
        <v>31.725428738303318</v>
      </c>
      <c r="N64" s="2">
        <f t="shared" si="22"/>
        <v>2.6017391500321924E-3</v>
      </c>
      <c r="O64" s="1">
        <f t="shared" si="23"/>
        <v>4.6975845764469996E-2</v>
      </c>
      <c r="P64" s="1">
        <f t="shared" si="24"/>
        <v>5.1873611111111</v>
      </c>
      <c r="Q64" s="1">
        <f t="shared" si="25"/>
        <v>4.2540514107655903E-4</v>
      </c>
      <c r="R64" s="1">
        <f t="shared" si="26"/>
        <v>146.42505571524609</v>
      </c>
      <c r="S64" s="1">
        <f t="shared" si="27"/>
        <v>16169.153047671871</v>
      </c>
      <c r="T64" s="1">
        <f t="shared" si="28"/>
        <v>1.3260000000000014</v>
      </c>
      <c r="U64" s="2">
        <f t="shared" si="29"/>
        <v>146.42505571524609</v>
      </c>
      <c r="V64" s="2">
        <f t="shared" si="30"/>
        <v>16169.153047671871</v>
      </c>
      <c r="W64" s="2">
        <f t="shared" si="31"/>
        <v>1.3260000000000014</v>
      </c>
      <c r="X64" s="1">
        <f t="shared" si="32"/>
        <v>23.94166666666662</v>
      </c>
      <c r="Y64" s="1">
        <f t="shared" si="33"/>
        <v>2643.7857281919355</v>
      </c>
      <c r="Z64" s="1">
        <f t="shared" si="34"/>
        <v>0.21681159583601539</v>
      </c>
      <c r="AA64" s="1"/>
      <c r="AB64" s="1"/>
      <c r="AC64" s="1"/>
    </row>
    <row r="65" spans="2:52" x14ac:dyDescent="0.25">
      <c r="B65" s="4">
        <f>IF(AND(T_0/(W_0-1)&gt;B64*1.1,T_0/(W_0-1)&lt;B64*1.1^2),T_0/(W_0-1),B64*1.1)</f>
        <v>7288124.9451027401</v>
      </c>
      <c r="C65" s="4">
        <f t="shared" si="35"/>
        <v>1579.0937381055937</v>
      </c>
      <c r="D65" s="4">
        <f t="shared" si="18"/>
        <v>191810.54105571518</v>
      </c>
      <c r="E65" s="2">
        <f t="shared" si="19"/>
        <v>13</v>
      </c>
      <c r="F65" s="1">
        <f t="shared" si="36"/>
        <v>0.28730000000000028</v>
      </c>
      <c r="G65" s="1">
        <f t="shared" si="37"/>
        <v>34.897971612133652</v>
      </c>
      <c r="H65" s="1">
        <f t="shared" si="38"/>
        <v>2.3652174091201746E-3</v>
      </c>
      <c r="I65" s="2">
        <f>getNeutralFeeOld(baseReward,$B65,W_0)*T_0*$C65</f>
        <v>0.28730000000000028</v>
      </c>
      <c r="J65" s="2">
        <f>getNeutralFeeOld(baseReward,$B65,W_0)*T_0*$D65</f>
        <v>34.897971612133652</v>
      </c>
      <c r="K65" s="2">
        <f>getNeutralFeeOld(baseReward,$B65,W_0)*T_0*$E65</f>
        <v>2.3652174091201746E-3</v>
      </c>
      <c r="L65" s="2">
        <f t="shared" si="20"/>
        <v>0.28730000000000028</v>
      </c>
      <c r="M65" s="2">
        <f t="shared" si="21"/>
        <v>34.897971612133652</v>
      </c>
      <c r="N65" s="2">
        <f t="shared" si="22"/>
        <v>2.3652174091201746E-3</v>
      </c>
      <c r="O65" s="1">
        <f t="shared" si="23"/>
        <v>4.2705314331334433E-2</v>
      </c>
      <c r="P65" s="1">
        <f t="shared" si="24"/>
        <v>5.1873611111108664</v>
      </c>
      <c r="Q65" s="1">
        <f t="shared" si="25"/>
        <v>3.5157449675747088E-4</v>
      </c>
      <c r="R65" s="1">
        <f t="shared" si="26"/>
        <v>161.06756128677071</v>
      </c>
      <c r="S65" s="1">
        <f t="shared" si="27"/>
        <v>19564.675187682966</v>
      </c>
      <c r="T65" s="1">
        <f t="shared" si="28"/>
        <v>1.3260000000000012</v>
      </c>
      <c r="U65" s="2">
        <f t="shared" si="29"/>
        <v>161.06756128677071</v>
      </c>
      <c r="V65" s="2">
        <f t="shared" si="30"/>
        <v>19564.675187682966</v>
      </c>
      <c r="W65" s="2">
        <f t="shared" si="31"/>
        <v>1.3260000000000012</v>
      </c>
      <c r="X65" s="1">
        <f t="shared" si="32"/>
        <v>23.94166666666554</v>
      </c>
      <c r="Y65" s="1">
        <f t="shared" si="33"/>
        <v>2908.1643010109983</v>
      </c>
      <c r="Z65" s="1">
        <f t="shared" si="34"/>
        <v>0.19710145076000507</v>
      </c>
      <c r="AA65" s="1"/>
      <c r="AB65" s="1"/>
      <c r="AC65" s="1"/>
    </row>
    <row r="66" spans="2:52" x14ac:dyDescent="0.25">
      <c r="B66" s="4">
        <f>IF(AND(T_0/(W_0-1)&gt;B65*1.1,T_0/(W_0-1)&lt;B65*1.1^2),T_0/(W_0-1),B65*1.1)</f>
        <v>8016937.4396130145</v>
      </c>
      <c r="C66" s="4">
        <f t="shared" si="35"/>
        <v>1737.0031119161531</v>
      </c>
      <c r="D66" s="4">
        <f t="shared" si="18"/>
        <v>232090.75467741536</v>
      </c>
      <c r="E66" s="2">
        <f t="shared" si="19"/>
        <v>13</v>
      </c>
      <c r="F66" s="1">
        <f t="shared" si="36"/>
        <v>0.28730000000000028</v>
      </c>
      <c r="G66" s="1">
        <f t="shared" si="37"/>
        <v>38.387768773347013</v>
      </c>
      <c r="H66" s="1">
        <f t="shared" si="38"/>
        <v>2.1501976446547037E-3</v>
      </c>
      <c r="I66" s="2">
        <f>getNeutralFeeOld(baseReward,$B66,W_0)*T_0*$C66</f>
        <v>0.28730000000000028</v>
      </c>
      <c r="J66" s="2">
        <f>getNeutralFeeOld(baseReward,$B66,W_0)*T_0*$D66</f>
        <v>38.387768773347013</v>
      </c>
      <c r="K66" s="2">
        <f>getNeutralFeeOld(baseReward,$B66,W_0)*T_0*$E66</f>
        <v>2.1501976446547037E-3</v>
      </c>
      <c r="L66" s="2">
        <f t="shared" si="20"/>
        <v>0.28730000000000028</v>
      </c>
      <c r="M66" s="2">
        <f t="shared" si="21"/>
        <v>38.387768773347013</v>
      </c>
      <c r="N66" s="2">
        <f t="shared" si="22"/>
        <v>2.1501976446547037E-3</v>
      </c>
      <c r="O66" s="1">
        <f t="shared" si="23"/>
        <v>3.8823013028489228E-2</v>
      </c>
      <c r="P66" s="1">
        <f t="shared" si="24"/>
        <v>5.1873611111113185</v>
      </c>
      <c r="Q66" s="1">
        <f t="shared" si="25"/>
        <v>2.9055743533677812E-4</v>
      </c>
      <c r="R66" s="1">
        <f t="shared" si="26"/>
        <v>177.17431741544777</v>
      </c>
      <c r="S66" s="1">
        <f t="shared" si="27"/>
        <v>23673.256977096389</v>
      </c>
      <c r="T66" s="1">
        <f t="shared" si="28"/>
        <v>1.3260000000000012</v>
      </c>
      <c r="U66" s="2">
        <f t="shared" si="29"/>
        <v>177.17431741544777</v>
      </c>
      <c r="V66" s="2">
        <f t="shared" si="30"/>
        <v>23673.256977096389</v>
      </c>
      <c r="W66" s="2">
        <f t="shared" si="31"/>
        <v>1.3260000000000012</v>
      </c>
      <c r="X66" s="1">
        <f t="shared" si="32"/>
        <v>23.941666666667626</v>
      </c>
      <c r="Y66" s="1">
        <f t="shared" si="33"/>
        <v>3198.9807311123768</v>
      </c>
      <c r="Z66" s="1">
        <f t="shared" si="34"/>
        <v>0.17918313705456568</v>
      </c>
      <c r="AA66" s="1"/>
      <c r="AB66" s="1"/>
      <c r="AC66" s="1"/>
      <c r="AL66" s="5" t="s">
        <v>21</v>
      </c>
      <c r="AM66" s="5"/>
      <c r="AN66" s="5"/>
      <c r="AO66" s="5"/>
      <c r="AP66" s="5"/>
      <c r="AQ66" s="5" t="s">
        <v>19</v>
      </c>
      <c r="AR66" s="5"/>
      <c r="AS66" s="5"/>
      <c r="AT66" s="5"/>
      <c r="AU66" s="5"/>
      <c r="AV66" s="5" t="s">
        <v>20</v>
      </c>
      <c r="AW66" s="5"/>
      <c r="AX66" s="5"/>
      <c r="AY66" s="5"/>
      <c r="AZ66" s="5"/>
    </row>
    <row r="67" spans="2:52" x14ac:dyDescent="0.25">
      <c r="B67" s="4">
        <f>IF(AND(T_0/(W_0-1)&gt;B66*1.1,T_0/(W_0-1)&lt;B66*1.1^2),T_0/(W_0-1),B66*1.1)</f>
        <v>8818631.183574317</v>
      </c>
      <c r="C67" s="4">
        <f t="shared" si="35"/>
        <v>1910.7034231077687</v>
      </c>
      <c r="D67" s="4">
        <f t="shared" si="18"/>
        <v>280829.81315967266</v>
      </c>
      <c r="E67" s="2">
        <f t="shared" si="19"/>
        <v>13</v>
      </c>
      <c r="F67" s="1">
        <f t="shared" si="36"/>
        <v>0.28730000000000022</v>
      </c>
      <c r="G67" s="1">
        <f t="shared" si="37"/>
        <v>42.226545650681722</v>
      </c>
      <c r="H67" s="1">
        <f t="shared" si="38"/>
        <v>1.9547251315042758E-3</v>
      </c>
      <c r="I67" s="2">
        <f>getNeutralFeeOld(baseReward,$B67,W_0)*T_0*$C67</f>
        <v>0.28730000000000022</v>
      </c>
      <c r="J67" s="2">
        <f>getNeutralFeeOld(baseReward,$B67,W_0)*T_0*$D67</f>
        <v>42.226545650681722</v>
      </c>
      <c r="K67" s="2">
        <f>getNeutralFeeOld(baseReward,$B67,W_0)*T_0*$E67</f>
        <v>1.9547251315042758E-3</v>
      </c>
      <c r="L67" s="2">
        <f t="shared" si="20"/>
        <v>0.28730000000000022</v>
      </c>
      <c r="M67" s="2">
        <f t="shared" si="21"/>
        <v>42.226545650681722</v>
      </c>
      <c r="N67" s="2">
        <f t="shared" si="22"/>
        <v>1.9547251315042758E-3</v>
      </c>
      <c r="O67" s="1">
        <f t="shared" si="23"/>
        <v>3.5293648207714579E-2</v>
      </c>
      <c r="P67" s="1">
        <f t="shared" si="24"/>
        <v>5.187361111110893</v>
      </c>
      <c r="Q67" s="1">
        <f t="shared" si="25"/>
        <v>2.4013011184855718E-4</v>
      </c>
      <c r="R67" s="1">
        <f t="shared" si="26"/>
        <v>194.89174915699257</v>
      </c>
      <c r="S67" s="1">
        <f t="shared" si="27"/>
        <v>28644.640942286638</v>
      </c>
      <c r="T67" s="1">
        <f t="shared" si="28"/>
        <v>1.3260000000000012</v>
      </c>
      <c r="U67" s="2">
        <f t="shared" si="29"/>
        <v>194.89174915699257</v>
      </c>
      <c r="V67" s="2">
        <f t="shared" si="30"/>
        <v>28644.640942286638</v>
      </c>
      <c r="W67" s="2">
        <f t="shared" si="31"/>
        <v>1.3260000000000012</v>
      </c>
      <c r="X67" s="1">
        <f t="shared" si="32"/>
        <v>23.941666666665665</v>
      </c>
      <c r="Y67" s="1">
        <f t="shared" si="33"/>
        <v>3518.8788042233264</v>
      </c>
      <c r="Z67" s="1">
        <f t="shared" si="34"/>
        <v>0.16289376095868269</v>
      </c>
      <c r="AA67" s="1"/>
      <c r="AB67" s="1"/>
      <c r="AC67" s="1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</row>
    <row r="68" spans="2:52" x14ac:dyDescent="0.25">
      <c r="B68" s="4">
        <f>IF(AND(T_0/(W_0-1)&gt;B67*1.1,T_0/(W_0-1)&lt;B67*1.1^2),T_0/(W_0-1),B67*1.1)</f>
        <v>9700494.30193175</v>
      </c>
      <c r="C68" s="4">
        <f t="shared" si="35"/>
        <v>2101.7737654185457</v>
      </c>
      <c r="D68" s="4">
        <f t="shared" si="18"/>
        <v>339804.07392320404</v>
      </c>
      <c r="E68" s="2">
        <f t="shared" si="19"/>
        <v>13</v>
      </c>
      <c r="F68" s="1">
        <f t="shared" si="36"/>
        <v>0.28730000000000022</v>
      </c>
      <c r="G68" s="1">
        <f t="shared" si="37"/>
        <v>46.449200215749904</v>
      </c>
      <c r="H68" s="1">
        <f t="shared" si="38"/>
        <v>1.7770228468220687E-3</v>
      </c>
      <c r="I68" s="2">
        <f>getNeutralFeeOld(baseReward,$B68,W_0)*T_0*$C68</f>
        <v>0.28730000000000022</v>
      </c>
      <c r="J68" s="2">
        <f>getNeutralFeeOld(baseReward,$B68,W_0)*T_0*$D68</f>
        <v>46.449200215749904</v>
      </c>
      <c r="K68" s="2">
        <f>getNeutralFeeOld(baseReward,$B68,W_0)*T_0*$E68</f>
        <v>1.7770228468220687E-3</v>
      </c>
      <c r="L68" s="2">
        <f t="shared" si="20"/>
        <v>0.28730000000000022</v>
      </c>
      <c r="M68" s="2">
        <f t="shared" si="21"/>
        <v>46.449200215749904</v>
      </c>
      <c r="N68" s="2">
        <f t="shared" si="22"/>
        <v>1.7770228468220687E-3</v>
      </c>
      <c r="O68" s="1">
        <f t="shared" si="23"/>
        <v>3.2085134734286466E-2</v>
      </c>
      <c r="P68" s="1">
        <f t="shared" si="24"/>
        <v>5.1873611111109721</v>
      </c>
      <c r="Q68" s="1">
        <f t="shared" si="25"/>
        <v>1.9845463789137252E-4</v>
      </c>
      <c r="R68" s="1">
        <f t="shared" si="26"/>
        <v>214.38092407269187</v>
      </c>
      <c r="S68" s="1">
        <f t="shared" si="27"/>
        <v>34660.015540166845</v>
      </c>
      <c r="T68" s="1">
        <f t="shared" si="28"/>
        <v>1.3260000000000012</v>
      </c>
      <c r="U68" s="2">
        <f t="shared" si="29"/>
        <v>214.38092407269187</v>
      </c>
      <c r="V68" s="2">
        <f t="shared" si="30"/>
        <v>34660.015540166845</v>
      </c>
      <c r="W68" s="2">
        <f t="shared" si="31"/>
        <v>1.3260000000000012</v>
      </c>
      <c r="X68" s="1">
        <f t="shared" si="32"/>
        <v>23.941666666666027</v>
      </c>
      <c r="Y68" s="1">
        <f t="shared" si="33"/>
        <v>3870.7666846457182</v>
      </c>
      <c r="Z68" s="1">
        <f t="shared" si="34"/>
        <v>0.14808523723516831</v>
      </c>
      <c r="AA68" s="1"/>
      <c r="AB68" s="1"/>
      <c r="AC68" s="1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</row>
    <row r="69" spans="2:52" x14ac:dyDescent="0.25">
      <c r="B69" s="4">
        <f>IF(AND(T_0/(W_0-1)&gt;B68*1.1,T_0/(W_0-1)&lt;B68*1.1^2),T_0/(W_0-1),B68*1.1)</f>
        <v>10670543.732124927</v>
      </c>
      <c r="C69" s="4">
        <f t="shared" si="35"/>
        <v>2311.9511419604009</v>
      </c>
      <c r="D69" s="4">
        <f t="shared" si="18"/>
        <v>411162.92944707704</v>
      </c>
      <c r="E69" s="2">
        <f t="shared" si="19"/>
        <v>13</v>
      </c>
      <c r="F69" s="1">
        <f t="shared" si="36"/>
        <v>0.28730000000000033</v>
      </c>
      <c r="G69" s="1">
        <f t="shared" si="37"/>
        <v>51.094120237324915</v>
      </c>
      <c r="H69" s="1">
        <f t="shared" si="38"/>
        <v>1.6154753152927898E-3</v>
      </c>
      <c r="I69" s="2">
        <f>getNeutralFeeOld(baseReward,$B69,W_0)*T_0*$C69</f>
        <v>0.28730000000000033</v>
      </c>
      <c r="J69" s="2">
        <f>getNeutralFeeOld(baseReward,$B69,W_0)*T_0*$D69</f>
        <v>51.094120237324915</v>
      </c>
      <c r="K69" s="2">
        <f>getNeutralFeeOld(baseReward,$B69,W_0)*T_0*$E69</f>
        <v>1.6154753152927898E-3</v>
      </c>
      <c r="L69" s="2">
        <f t="shared" si="20"/>
        <v>0.28730000000000033</v>
      </c>
      <c r="M69" s="2">
        <f t="shared" si="21"/>
        <v>51.094120237324915</v>
      </c>
      <c r="N69" s="2">
        <f t="shared" si="22"/>
        <v>1.6154753152927898E-3</v>
      </c>
      <c r="O69" s="1">
        <f t="shared" si="23"/>
        <v>2.9168304303898725E-2</v>
      </c>
      <c r="P69" s="1">
        <f t="shared" si="24"/>
        <v>5.1873611111113176</v>
      </c>
      <c r="Q69" s="1">
        <f t="shared" si="25"/>
        <v>1.6401209743089723E-4</v>
      </c>
      <c r="R69" s="1">
        <f t="shared" si="26"/>
        <v>235.81901647996111</v>
      </c>
      <c r="S69" s="1">
        <f t="shared" si="27"/>
        <v>41938.618803601894</v>
      </c>
      <c r="T69" s="1">
        <f t="shared" si="28"/>
        <v>1.3260000000000012</v>
      </c>
      <c r="U69" s="2">
        <f t="shared" si="29"/>
        <v>235.81901647996111</v>
      </c>
      <c r="V69" s="2">
        <f t="shared" si="30"/>
        <v>41938.618803601894</v>
      </c>
      <c r="W69" s="2">
        <f t="shared" si="31"/>
        <v>1.3260000000000012</v>
      </c>
      <c r="X69" s="1">
        <f t="shared" si="32"/>
        <v>23.941666666667619</v>
      </c>
      <c r="Y69" s="1">
        <f t="shared" si="33"/>
        <v>4257.8433531105738</v>
      </c>
      <c r="Z69" s="1">
        <f t="shared" si="34"/>
        <v>0.13462294294107102</v>
      </c>
      <c r="AA69" s="1"/>
      <c r="AB69" s="1"/>
      <c r="AC69" s="1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</row>
    <row r="70" spans="2:52" x14ac:dyDescent="0.25">
      <c r="B70" s="4">
        <f>IF(AND(T_0/(W_0-1)&gt;B69*1.1,T_0/(W_0-1)&lt;B69*1.1^2),T_0/(W_0-1),B69*1.1)</f>
        <v>11737598.10533742</v>
      </c>
      <c r="C70" s="4">
        <f t="shared" si="35"/>
        <v>2543.1462561564413</v>
      </c>
      <c r="D70" s="4">
        <f t="shared" si="18"/>
        <v>497507.14463096339</v>
      </c>
      <c r="E70" s="2">
        <f t="shared" si="19"/>
        <v>13</v>
      </c>
      <c r="F70" s="1">
        <f t="shared" si="36"/>
        <v>0.28730000000000028</v>
      </c>
      <c r="G70" s="1">
        <f t="shared" si="37"/>
        <v>56.203532261057411</v>
      </c>
      <c r="H70" s="1">
        <f t="shared" si="38"/>
        <v>1.468613922993445E-3</v>
      </c>
      <c r="I70" s="2">
        <f>getNeutralFeeOld(baseReward,$B70,W_0)*T_0*$C70</f>
        <v>0.28730000000000028</v>
      </c>
      <c r="J70" s="2">
        <f>getNeutralFeeOld(baseReward,$B70,W_0)*T_0*$D70</f>
        <v>56.203532261057411</v>
      </c>
      <c r="K70" s="2">
        <f>getNeutralFeeOld(baseReward,$B70,W_0)*T_0*$E70</f>
        <v>1.468613922993445E-3</v>
      </c>
      <c r="L70" s="2">
        <f t="shared" si="20"/>
        <v>0.28730000000000028</v>
      </c>
      <c r="M70" s="2">
        <f t="shared" si="21"/>
        <v>56.203532261057411</v>
      </c>
      <c r="N70" s="2">
        <f t="shared" si="22"/>
        <v>1.468613922993445E-3</v>
      </c>
      <c r="O70" s="1">
        <f t="shared" si="23"/>
        <v>2.6516640276269633E-2</v>
      </c>
      <c r="P70" s="1">
        <f t="shared" si="24"/>
        <v>5.1873611111109401</v>
      </c>
      <c r="Q70" s="1">
        <f t="shared" si="25"/>
        <v>1.3554718795940932E-4</v>
      </c>
      <c r="R70" s="1">
        <f t="shared" si="26"/>
        <v>259.40091812795725</v>
      </c>
      <c r="S70" s="1">
        <f t="shared" si="27"/>
        <v>50745.728752358315</v>
      </c>
      <c r="T70" s="1">
        <f t="shared" si="28"/>
        <v>1.3260000000000014</v>
      </c>
      <c r="U70" s="2">
        <f t="shared" si="29"/>
        <v>259.40091812795725</v>
      </c>
      <c r="V70" s="2">
        <f t="shared" si="30"/>
        <v>50745.728752358315</v>
      </c>
      <c r="W70" s="2">
        <f t="shared" si="31"/>
        <v>1.3260000000000014</v>
      </c>
      <c r="X70" s="1">
        <f t="shared" si="32"/>
        <v>23.941666666665874</v>
      </c>
      <c r="Y70" s="1">
        <f t="shared" si="33"/>
        <v>4683.6276884212921</v>
      </c>
      <c r="Z70" s="1">
        <f t="shared" si="34"/>
        <v>0.12238449358278292</v>
      </c>
      <c r="AA70" s="1"/>
      <c r="AB70" s="1"/>
      <c r="AC70" s="1"/>
    </row>
    <row r="71" spans="2:52" x14ac:dyDescent="0.25">
      <c r="B71" s="4">
        <f>IF(AND(T_0/(W_0-1)&gt;B70*1.1,T_0/(W_0-1)&lt;B70*1.1^2),T_0/(W_0-1),B70*1.1)</f>
        <v>12911357.915871164</v>
      </c>
      <c r="C71" s="4">
        <f t="shared" si="35"/>
        <v>2797.4608817720855</v>
      </c>
      <c r="D71" s="4">
        <f t="shared" si="18"/>
        <v>601983.6450034657</v>
      </c>
      <c r="E71" s="2">
        <f t="shared" si="19"/>
        <v>13</v>
      </c>
      <c r="F71" s="1">
        <f t="shared" si="36"/>
        <v>0.28730000000000022</v>
      </c>
      <c r="G71" s="1">
        <f t="shared" si="37"/>
        <v>61.823885487163139</v>
      </c>
      <c r="H71" s="1">
        <f t="shared" si="38"/>
        <v>1.3351035663576769E-3</v>
      </c>
      <c r="I71" s="2">
        <f>getNeutralFeeOld(baseReward,$B71,W_0)*T_0*$C71</f>
        <v>0.28730000000000022</v>
      </c>
      <c r="J71" s="2">
        <f>getNeutralFeeOld(baseReward,$B71,W_0)*T_0*$D71</f>
        <v>61.823885487163139</v>
      </c>
      <c r="K71" s="2">
        <f>getNeutralFeeOld(baseReward,$B71,W_0)*T_0*$E71</f>
        <v>1.3351035663576769E-3</v>
      </c>
      <c r="L71" s="2">
        <f t="shared" si="20"/>
        <v>0.28730000000000022</v>
      </c>
      <c r="M71" s="2">
        <f t="shared" si="21"/>
        <v>61.823885487163139</v>
      </c>
      <c r="N71" s="2">
        <f t="shared" si="22"/>
        <v>1.3351035663576769E-3</v>
      </c>
      <c r="O71" s="1">
        <f t="shared" si="23"/>
        <v>2.4106036614791538E-2</v>
      </c>
      <c r="P71" s="1">
        <f t="shared" si="24"/>
        <v>5.1873611111111479</v>
      </c>
      <c r="Q71" s="1">
        <f t="shared" si="25"/>
        <v>1.1202246938794605E-4</v>
      </c>
      <c r="R71" s="1">
        <f t="shared" si="26"/>
        <v>285.34100994075294</v>
      </c>
      <c r="S71" s="1">
        <f t="shared" si="27"/>
        <v>61402.33179035355</v>
      </c>
      <c r="T71" s="1">
        <f t="shared" si="28"/>
        <v>1.326000000000001</v>
      </c>
      <c r="U71" s="2">
        <f t="shared" si="29"/>
        <v>285.34100994075294</v>
      </c>
      <c r="V71" s="2">
        <f t="shared" si="30"/>
        <v>61402.33179035355</v>
      </c>
      <c r="W71" s="2">
        <f t="shared" si="31"/>
        <v>1.326000000000001</v>
      </c>
      <c r="X71" s="1">
        <f t="shared" si="32"/>
        <v>23.941666666666837</v>
      </c>
      <c r="Y71" s="1">
        <f t="shared" si="33"/>
        <v>5151.9904572636269</v>
      </c>
      <c r="Z71" s="1">
        <f t="shared" si="34"/>
        <v>0.11125863052980711</v>
      </c>
      <c r="AA71" s="1"/>
      <c r="AB71" s="1"/>
      <c r="AC71" s="1"/>
    </row>
    <row r="72" spans="2:52" x14ac:dyDescent="0.25">
      <c r="B72" s="4">
        <f>IF(AND(T_0/(W_0-1)&gt;B71*1.1,T_0/(W_0-1)&lt;B71*1.1^2),T_0/(W_0-1),B71*1.1)</f>
        <v>14202493.707458282</v>
      </c>
      <c r="C72" s="4">
        <f t="shared" si="35"/>
        <v>3077.2069699492945</v>
      </c>
      <c r="D72" s="4">
        <f t="shared" si="18"/>
        <v>728400.21045419364</v>
      </c>
      <c r="E72" s="2">
        <f t="shared" si="19"/>
        <v>13</v>
      </c>
      <c r="F72" s="1">
        <f t="shared" si="36"/>
        <v>0.28730000000000028</v>
      </c>
      <c r="G72" s="1">
        <f t="shared" si="37"/>
        <v>68.006274035879471</v>
      </c>
      <c r="H72" s="1">
        <f t="shared" si="38"/>
        <v>1.2137305148706154E-3</v>
      </c>
      <c r="I72" s="2">
        <f>getNeutralFeeOld(baseReward,$B72,W_0)*T_0*$C72</f>
        <v>0.28730000000000028</v>
      </c>
      <c r="J72" s="2">
        <f>getNeutralFeeOld(baseReward,$B72,W_0)*T_0*$D72</f>
        <v>68.006274035879471</v>
      </c>
      <c r="K72" s="2">
        <f>getNeutralFeeOld(baseReward,$B72,W_0)*T_0*$E72</f>
        <v>1.2137305148706154E-3</v>
      </c>
      <c r="L72" s="2">
        <f t="shared" si="20"/>
        <v>0.28730000000000028</v>
      </c>
      <c r="M72" s="2">
        <f t="shared" si="21"/>
        <v>68.006274035879471</v>
      </c>
      <c r="N72" s="2">
        <f t="shared" si="22"/>
        <v>1.2137305148706154E-3</v>
      </c>
      <c r="O72" s="1">
        <f t="shared" si="23"/>
        <v>2.1914578740717651E-2</v>
      </c>
      <c r="P72" s="1">
        <f t="shared" si="24"/>
        <v>5.1873611111106914</v>
      </c>
      <c r="Q72" s="1">
        <f t="shared" si="25"/>
        <v>9.258055321317038E-5</v>
      </c>
      <c r="R72" s="1">
        <f t="shared" si="26"/>
        <v>313.87511093482834</v>
      </c>
      <c r="S72" s="1">
        <f t="shared" si="27"/>
        <v>74296.82146632782</v>
      </c>
      <c r="T72" s="1">
        <f t="shared" si="28"/>
        <v>1.3260000000000012</v>
      </c>
      <c r="U72" s="2">
        <f t="shared" si="29"/>
        <v>313.87511093482834</v>
      </c>
      <c r="V72" s="2">
        <f t="shared" si="30"/>
        <v>74296.82146632782</v>
      </c>
      <c r="W72" s="2">
        <f t="shared" si="31"/>
        <v>1.3260000000000012</v>
      </c>
      <c r="X72" s="1">
        <f t="shared" si="32"/>
        <v>23.94166666666473</v>
      </c>
      <c r="Y72" s="1">
        <f t="shared" si="33"/>
        <v>5667.1895029894922</v>
      </c>
      <c r="Z72" s="1">
        <f t="shared" si="34"/>
        <v>0.10114420957254301</v>
      </c>
      <c r="AA72" s="1"/>
      <c r="AB72" s="1"/>
      <c r="AC72" s="1"/>
    </row>
    <row r="73" spans="2:52" x14ac:dyDescent="0.25">
      <c r="B73" s="4">
        <f>IF(AND(T_0/(W_0-1)&gt;B72*1.1,T_0/(W_0-1)&lt;B72*1.1^2),T_0/(W_0-1),B72*1.1)</f>
        <v>15622743.078204112</v>
      </c>
      <c r="C73" s="4">
        <f t="shared" si="35"/>
        <v>3384.9276669442243</v>
      </c>
      <c r="D73" s="4">
        <f t="shared" si="18"/>
        <v>881364.25464957452</v>
      </c>
      <c r="E73" s="2">
        <f t="shared" si="19"/>
        <v>13</v>
      </c>
      <c r="F73" s="1">
        <f t="shared" si="36"/>
        <v>0.28730000000000022</v>
      </c>
      <c r="G73" s="1">
        <f t="shared" si="37"/>
        <v>74.80690143946741</v>
      </c>
      <c r="H73" s="1">
        <f t="shared" si="38"/>
        <v>1.1033913771551047E-3</v>
      </c>
      <c r="I73" s="2">
        <f>getNeutralFeeOld(baseReward,$B73,W_0)*T_0*$C73</f>
        <v>0.28730000000000022</v>
      </c>
      <c r="J73" s="2">
        <f>getNeutralFeeOld(baseReward,$B73,W_0)*T_0*$D73</f>
        <v>74.80690143946741</v>
      </c>
      <c r="K73" s="2">
        <f>getNeutralFeeOld(baseReward,$B73,W_0)*T_0*$E73</f>
        <v>1.1033913771551047E-3</v>
      </c>
      <c r="L73" s="2">
        <f t="shared" si="20"/>
        <v>0.28730000000000022</v>
      </c>
      <c r="M73" s="2">
        <f t="shared" si="21"/>
        <v>74.80690143946741</v>
      </c>
      <c r="N73" s="2">
        <f t="shared" si="22"/>
        <v>1.1033913771551047E-3</v>
      </c>
      <c r="O73" s="1">
        <f t="shared" si="23"/>
        <v>1.9922344309745252E-2</v>
      </c>
      <c r="P73" s="1">
        <f t="shared" si="24"/>
        <v>5.187361111111195</v>
      </c>
      <c r="Q73" s="1">
        <f t="shared" si="25"/>
        <v>7.6512853895189544E-5</v>
      </c>
      <c r="R73" s="1">
        <f t="shared" si="26"/>
        <v>345.26262202831117</v>
      </c>
      <c r="S73" s="1">
        <f t="shared" si="27"/>
        <v>89899.153974256682</v>
      </c>
      <c r="T73" s="1">
        <f t="shared" si="28"/>
        <v>1.3260000000000012</v>
      </c>
      <c r="U73" s="2">
        <f t="shared" si="29"/>
        <v>345.26262202831117</v>
      </c>
      <c r="V73" s="2">
        <f t="shared" si="30"/>
        <v>89899.153974256682</v>
      </c>
      <c r="W73" s="2">
        <f t="shared" si="31"/>
        <v>1.3260000000000012</v>
      </c>
      <c r="X73" s="1">
        <f t="shared" si="32"/>
        <v>23.941666666667054</v>
      </c>
      <c r="Y73" s="1">
        <f t="shared" si="33"/>
        <v>6233.9084532890465</v>
      </c>
      <c r="Z73" s="1">
        <f t="shared" si="34"/>
        <v>9.1949281429593466E-2</v>
      </c>
      <c r="AA73" s="1"/>
      <c r="AB73" s="1"/>
      <c r="AC73" s="1"/>
    </row>
    <row r="74" spans="2:52" x14ac:dyDescent="0.25">
      <c r="B74" s="4">
        <f>IF(AND(T_0/(W_0-1)&gt;B73*1.1,T_0/(W_0-1)&lt;B73*1.1^2),T_0/(W_0-1),B73*1.1)</f>
        <v>17185017.386024524</v>
      </c>
      <c r="C74" s="4">
        <f t="shared" si="35"/>
        <v>3723.420433638647</v>
      </c>
      <c r="D74" s="4">
        <f t="shared" si="18"/>
        <v>1066450.7481259855</v>
      </c>
      <c r="E74" s="2">
        <f t="shared" si="19"/>
        <v>13</v>
      </c>
      <c r="F74" s="1">
        <f t="shared" si="36"/>
        <v>0.28730000000000028</v>
      </c>
      <c r="G74" s="1">
        <f t="shared" si="37"/>
        <v>82.287591583414184</v>
      </c>
      <c r="H74" s="1">
        <f t="shared" si="38"/>
        <v>1.0030830701410042E-3</v>
      </c>
      <c r="I74" s="2">
        <f>getNeutralFeeOld(baseReward,$B74,W_0)*T_0*$C74</f>
        <v>0.28730000000000028</v>
      </c>
      <c r="J74" s="2">
        <f>getNeutralFeeOld(baseReward,$B74,W_0)*T_0*$D74</f>
        <v>82.287591583414184</v>
      </c>
      <c r="K74" s="2">
        <f>getNeutralFeeOld(baseReward,$B74,W_0)*T_0*$E74</f>
        <v>1.0030830701410042E-3</v>
      </c>
      <c r="L74" s="2">
        <f t="shared" si="20"/>
        <v>0.28730000000000028</v>
      </c>
      <c r="M74" s="2">
        <f t="shared" si="21"/>
        <v>82.287591583414184</v>
      </c>
      <c r="N74" s="2">
        <f t="shared" si="22"/>
        <v>1.0030830701410042E-3</v>
      </c>
      <c r="O74" s="1">
        <f t="shared" si="23"/>
        <v>1.8111222099767444E-2</v>
      </c>
      <c r="P74" s="1">
        <f t="shared" si="24"/>
        <v>5.1873611111109197</v>
      </c>
      <c r="Q74" s="1">
        <f t="shared" si="25"/>
        <v>6.3233763549740059E-5</v>
      </c>
      <c r="R74" s="1">
        <f t="shared" si="26"/>
        <v>379.78888423114233</v>
      </c>
      <c r="S74" s="1">
        <f t="shared" si="27"/>
        <v>108777.97630885062</v>
      </c>
      <c r="T74" s="1">
        <f t="shared" si="28"/>
        <v>1.3260000000000012</v>
      </c>
      <c r="U74" s="2">
        <f t="shared" si="29"/>
        <v>379.78888423114233</v>
      </c>
      <c r="V74" s="2">
        <f t="shared" si="30"/>
        <v>108777.97630885062</v>
      </c>
      <c r="W74" s="2">
        <f t="shared" si="31"/>
        <v>1.3260000000000012</v>
      </c>
      <c r="X74" s="1">
        <f t="shared" si="32"/>
        <v>23.941666666665778</v>
      </c>
      <c r="Y74" s="1">
        <f t="shared" si="33"/>
        <v>6857.2992986175877</v>
      </c>
      <c r="Z74" s="1">
        <f t="shared" si="34"/>
        <v>8.3590255845080508E-2</v>
      </c>
      <c r="AA74" s="1"/>
      <c r="AB74" s="1"/>
      <c r="AC74" s="1"/>
    </row>
    <row r="75" spans="2:52" x14ac:dyDescent="0.25">
      <c r="B75" s="4">
        <f>IF(AND(T_0/(W_0-1)&gt;B74*1.1,T_0/(W_0-1)&lt;B74*1.1^2),T_0/(W_0-1),B74*1.1)</f>
        <v>18903519.124626979</v>
      </c>
      <c r="C75" s="4">
        <f t="shared" si="35"/>
        <v>4095.7624770025122</v>
      </c>
      <c r="D75" s="4">
        <f t="shared" si="18"/>
        <v>1290405.4052324428</v>
      </c>
      <c r="E75" s="2">
        <f t="shared" si="19"/>
        <v>13</v>
      </c>
      <c r="F75" s="1">
        <f t="shared" si="36"/>
        <v>0.28730000000000028</v>
      </c>
      <c r="G75" s="1">
        <f t="shared" si="37"/>
        <v>90.516350741755602</v>
      </c>
      <c r="H75" s="1">
        <f t="shared" si="38"/>
        <v>9.1189370012818556E-4</v>
      </c>
      <c r="I75" s="2">
        <f>getNeutralFeeOld(baseReward,$B75,W_0)*T_0*$C75</f>
        <v>0.28730000000000028</v>
      </c>
      <c r="J75" s="2">
        <f>getNeutralFeeOld(baseReward,$B75,W_0)*T_0*$D75</f>
        <v>90.516350741755602</v>
      </c>
      <c r="K75" s="2">
        <f>getNeutralFeeOld(baseReward,$B75,W_0)*T_0*$E75</f>
        <v>9.1189370012818556E-4</v>
      </c>
      <c r="L75" s="2">
        <f t="shared" si="20"/>
        <v>0.28730000000000028</v>
      </c>
      <c r="M75" s="2">
        <f t="shared" si="21"/>
        <v>90.516350741755602</v>
      </c>
      <c r="N75" s="2">
        <f t="shared" si="22"/>
        <v>9.1189370012818556E-4</v>
      </c>
      <c r="O75" s="1">
        <f t="shared" si="23"/>
        <v>1.6464747363423501E-2</v>
      </c>
      <c r="P75" s="1">
        <f t="shared" si="24"/>
        <v>5.1873611111104641</v>
      </c>
      <c r="Q75" s="1">
        <f t="shared" si="25"/>
        <v>5.225930871878883E-5</v>
      </c>
      <c r="R75" s="1">
        <f t="shared" si="26"/>
        <v>417.76777265425665</v>
      </c>
      <c r="S75" s="1">
        <f t="shared" si="27"/>
        <v>131621.35133370929</v>
      </c>
      <c r="T75" s="1">
        <f t="shared" si="28"/>
        <v>1.3260000000000012</v>
      </c>
      <c r="U75" s="2">
        <f t="shared" si="29"/>
        <v>417.76777265425665</v>
      </c>
      <c r="V75" s="2">
        <f t="shared" si="30"/>
        <v>131621.35133370929</v>
      </c>
      <c r="W75" s="2">
        <f t="shared" si="31"/>
        <v>1.3260000000000012</v>
      </c>
      <c r="X75" s="1">
        <f t="shared" si="32"/>
        <v>23.941666666663671</v>
      </c>
      <c r="Y75" s="1">
        <f t="shared" si="33"/>
        <v>7543.0292284786838</v>
      </c>
      <c r="Z75" s="1">
        <f t="shared" si="34"/>
        <v>7.5991141677339225E-2</v>
      </c>
      <c r="AA75" s="1"/>
      <c r="AB75" s="1"/>
      <c r="AC75" s="1"/>
    </row>
    <row r="76" spans="2:52" x14ac:dyDescent="0.25">
      <c r="B76" s="4">
        <f>IF(AND(T_0/(W_0-1)&gt;B75*1.1,T_0/(W_0-1)&lt;B75*1.1^2),T_0/(W_0-1),B75*1.1)</f>
        <v>20793871.037089679</v>
      </c>
      <c r="C76" s="4">
        <f t="shared" si="35"/>
        <v>4505.338724702764</v>
      </c>
      <c r="D76" s="4">
        <f t="shared" si="18"/>
        <v>1561390.5403312561</v>
      </c>
      <c r="E76" s="2">
        <f t="shared" si="19"/>
        <v>13</v>
      </c>
      <c r="F76" s="1">
        <f t="shared" si="36"/>
        <v>0.28730000000000028</v>
      </c>
      <c r="G76" s="1">
        <f t="shared" si="37"/>
        <v>99.567985815931195</v>
      </c>
      <c r="H76" s="1">
        <f t="shared" si="38"/>
        <v>8.2899427284380506E-4</v>
      </c>
      <c r="I76" s="2">
        <f>getNeutralFeeOld(baseReward,$B76,W_0)*T_0*$C76</f>
        <v>0.28730000000000028</v>
      </c>
      <c r="J76" s="2">
        <f>getNeutralFeeOld(baseReward,$B76,W_0)*T_0*$D76</f>
        <v>99.567985815931195</v>
      </c>
      <c r="K76" s="2">
        <f>getNeutralFeeOld(baseReward,$B76,W_0)*T_0*$E76</f>
        <v>8.2899427284380506E-4</v>
      </c>
      <c r="L76" s="2">
        <f t="shared" si="20"/>
        <v>0.28730000000000028</v>
      </c>
      <c r="M76" s="2">
        <f t="shared" si="21"/>
        <v>99.567985815931195</v>
      </c>
      <c r="N76" s="2">
        <f t="shared" si="22"/>
        <v>8.2899427284380506E-4</v>
      </c>
      <c r="O76" s="1">
        <f t="shared" si="23"/>
        <v>1.4967952148567302E-2</v>
      </c>
      <c r="P76" s="1">
        <f t="shared" si="24"/>
        <v>5.187361111110631</v>
      </c>
      <c r="Q76" s="1">
        <f t="shared" si="25"/>
        <v>4.3189511337843394E-5</v>
      </c>
      <c r="R76" s="1">
        <f t="shared" si="26"/>
        <v>459.54454991968231</v>
      </c>
      <c r="S76" s="1">
        <f t="shared" si="27"/>
        <v>159261.83511378826</v>
      </c>
      <c r="T76" s="1">
        <f t="shared" si="28"/>
        <v>1.3260000000000012</v>
      </c>
      <c r="U76" s="2">
        <f t="shared" si="29"/>
        <v>459.54454991968231</v>
      </c>
      <c r="V76" s="2">
        <f t="shared" si="30"/>
        <v>159261.83511378826</v>
      </c>
      <c r="W76" s="2">
        <f t="shared" si="31"/>
        <v>1.3260000000000012</v>
      </c>
      <c r="X76" s="1">
        <f t="shared" si="32"/>
        <v>23.941666666664453</v>
      </c>
      <c r="Y76" s="1">
        <f t="shared" si="33"/>
        <v>8297.3321513268238</v>
      </c>
      <c r="Z76" s="1">
        <f t="shared" si="34"/>
        <v>6.908285607031063E-2</v>
      </c>
      <c r="AA76" s="1"/>
      <c r="AB76" s="1"/>
      <c r="AC76" s="1"/>
    </row>
    <row r="77" spans="2:52" x14ac:dyDescent="0.25">
      <c r="B77" s="4">
        <f>IF(AND(T_0/(W_0-1)&gt;B76*1.1,T_0/(W_0-1)&lt;B76*1.1^2),T_0/(W_0-1),B76*1.1)</f>
        <v>22873258.140798651</v>
      </c>
      <c r="C77" s="4">
        <f t="shared" si="35"/>
        <v>4955.872597173041</v>
      </c>
      <c r="D77" s="4">
        <f t="shared" si="18"/>
        <v>1889282.5538008199</v>
      </c>
      <c r="E77" s="2">
        <f t="shared" si="19"/>
        <v>13</v>
      </c>
      <c r="F77" s="1">
        <f t="shared" si="36"/>
        <v>0.28730000000000028</v>
      </c>
      <c r="G77" s="1">
        <f t="shared" si="37"/>
        <v>109.5247843975243</v>
      </c>
      <c r="H77" s="1">
        <f t="shared" si="38"/>
        <v>7.5363115713073176E-4</v>
      </c>
      <c r="I77" s="2">
        <f>getNeutralFeeOld(baseReward,$B77,W_0)*T_0*$C77</f>
        <v>0.28730000000000028</v>
      </c>
      <c r="J77" s="2">
        <f>getNeutralFeeOld(baseReward,$B77,W_0)*T_0*$D77</f>
        <v>109.5247843975243</v>
      </c>
      <c r="K77" s="2">
        <f>getNeutralFeeOld(baseReward,$B77,W_0)*T_0*$E77</f>
        <v>7.5363115713073176E-4</v>
      </c>
      <c r="L77" s="2">
        <f t="shared" si="20"/>
        <v>0.28730000000000028</v>
      </c>
      <c r="M77" s="2">
        <f t="shared" si="21"/>
        <v>109.5247843975243</v>
      </c>
      <c r="N77" s="2">
        <f t="shared" si="22"/>
        <v>7.5363115713073176E-4</v>
      </c>
      <c r="O77" s="1">
        <f t="shared" si="23"/>
        <v>1.3607229225972206E-2</v>
      </c>
      <c r="P77" s="1">
        <f t="shared" si="24"/>
        <v>5.1873611111113673</v>
      </c>
      <c r="Q77" s="1">
        <f t="shared" si="25"/>
        <v>3.5693811023016132E-5</v>
      </c>
      <c r="R77" s="1">
        <f t="shared" si="26"/>
        <v>505.49900491165062</v>
      </c>
      <c r="S77" s="1">
        <f t="shared" si="27"/>
        <v>192706.82048768381</v>
      </c>
      <c r="T77" s="1">
        <f t="shared" si="28"/>
        <v>1.3260000000000012</v>
      </c>
      <c r="U77" s="2">
        <f t="shared" si="29"/>
        <v>505.49900491165062</v>
      </c>
      <c r="V77" s="2">
        <f t="shared" si="30"/>
        <v>192706.82048768381</v>
      </c>
      <c r="W77" s="2">
        <f t="shared" si="31"/>
        <v>1.3260000000000012</v>
      </c>
      <c r="X77" s="1">
        <f t="shared" si="32"/>
        <v>23.941666666667853</v>
      </c>
      <c r="Y77" s="1">
        <f t="shared" si="33"/>
        <v>9127.0653664608017</v>
      </c>
      <c r="Z77" s="1">
        <f t="shared" si="34"/>
        <v>6.2802596427564028E-2</v>
      </c>
      <c r="AA77" s="1"/>
      <c r="AB77" s="1"/>
      <c r="AC77" s="1"/>
    </row>
    <row r="78" spans="2:52" x14ac:dyDescent="0.25">
      <c r="B78" s="4">
        <f>IF(AND(T_0/(W_0-1)&gt;B77*1.1,T_0/(W_0-1)&lt;B77*1.1^2),T_0/(W_0-1),B77*1.1)</f>
        <v>25160583.954878516</v>
      </c>
      <c r="C78" s="4">
        <f t="shared" si="35"/>
        <v>5451.4598568903457</v>
      </c>
      <c r="D78" s="4">
        <f t="shared" si="18"/>
        <v>2286031.8900989927</v>
      </c>
      <c r="E78" s="2">
        <f t="shared" si="19"/>
        <v>13</v>
      </c>
      <c r="F78" s="1">
        <f t="shared" si="36"/>
        <v>0.28730000000000022</v>
      </c>
      <c r="G78" s="1">
        <f t="shared" si="37"/>
        <v>120.47726283727673</v>
      </c>
      <c r="H78" s="1">
        <f t="shared" si="38"/>
        <v>6.8511923375521048E-4</v>
      </c>
      <c r="I78" s="2">
        <f>getNeutralFeeOld(baseReward,$B78,W_0)*T_0*$C78</f>
        <v>0.28730000000000022</v>
      </c>
      <c r="J78" s="2">
        <f>getNeutralFeeOld(baseReward,$B78,W_0)*T_0*$D78</f>
        <v>120.47726283727673</v>
      </c>
      <c r="K78" s="2">
        <f>getNeutralFeeOld(baseReward,$B78,W_0)*T_0*$E78</f>
        <v>6.8511923375521048E-4</v>
      </c>
      <c r="L78" s="2">
        <f t="shared" si="20"/>
        <v>0.28730000000000022</v>
      </c>
      <c r="M78" s="2">
        <f t="shared" si="21"/>
        <v>120.47726283727673</v>
      </c>
      <c r="N78" s="2">
        <f t="shared" si="22"/>
        <v>6.8511923375521048E-4</v>
      </c>
      <c r="O78" s="1">
        <f t="shared" si="23"/>
        <v>1.2370208387248911E-2</v>
      </c>
      <c r="P78" s="1">
        <f t="shared" si="24"/>
        <v>5.1873611111119766</v>
      </c>
      <c r="Q78" s="1">
        <f t="shared" si="25"/>
        <v>2.9499017374396952E-5</v>
      </c>
      <c r="R78" s="1">
        <f t="shared" si="26"/>
        <v>556.04890540281565</v>
      </c>
      <c r="S78" s="1">
        <f t="shared" si="27"/>
        <v>233175.25279009744</v>
      </c>
      <c r="T78" s="1">
        <f t="shared" si="28"/>
        <v>1.326000000000001</v>
      </c>
      <c r="U78" s="2">
        <f t="shared" si="29"/>
        <v>556.04890540281565</v>
      </c>
      <c r="V78" s="2">
        <f t="shared" si="30"/>
        <v>233175.25279009744</v>
      </c>
      <c r="W78" s="2">
        <f t="shared" si="31"/>
        <v>1.326000000000001</v>
      </c>
      <c r="X78" s="1">
        <f t="shared" si="32"/>
        <v>23.941666666670663</v>
      </c>
      <c r="Y78" s="1">
        <f t="shared" si="33"/>
        <v>10039.771903108061</v>
      </c>
      <c r="Z78" s="1">
        <f t="shared" si="34"/>
        <v>5.7093269479610353E-2</v>
      </c>
      <c r="AA78" s="1"/>
      <c r="AB78" s="1"/>
      <c r="AC78" s="1"/>
    </row>
    <row r="79" spans="2:52" x14ac:dyDescent="0.25">
      <c r="B79" s="4">
        <f>IF(AND(T_0/(W_0-1)&gt;B78*1.1,T_0/(W_0-1)&lt;B78*1.1^2),T_0/(W_0-1),B78*1.1)</f>
        <v>27676642.350366369</v>
      </c>
      <c r="C79" s="4">
        <f t="shared" si="35"/>
        <v>5996.6058425793799</v>
      </c>
      <c r="D79" s="4">
        <f t="shared" ref="D79:D142" si="39">($B79/$B$15)^2*XMRUSD</f>
        <v>2766098.5870197811</v>
      </c>
      <c r="E79" s="2">
        <f t="shared" ref="E79:E142" si="40">XMRUSD</f>
        <v>13</v>
      </c>
      <c r="F79" s="1">
        <f t="shared" si="36"/>
        <v>0.28730000000000028</v>
      </c>
      <c r="G79" s="1">
        <f t="shared" si="37"/>
        <v>132.52498912100441</v>
      </c>
      <c r="H79" s="1">
        <f t="shared" si="38"/>
        <v>6.2283566705019142E-4</v>
      </c>
      <c r="I79" s="2">
        <f>getNeutralFeeOld(baseReward,$B79,W_0)*T_0*$C79</f>
        <v>0.28730000000000028</v>
      </c>
      <c r="J79" s="2">
        <f>getNeutralFeeOld(baseReward,$B79,W_0)*T_0*$D79</f>
        <v>132.52498912100441</v>
      </c>
      <c r="K79" s="2">
        <f>getNeutralFeeOld(baseReward,$B79,W_0)*T_0*$E79</f>
        <v>6.2283566705019142E-4</v>
      </c>
      <c r="L79" s="2">
        <f t="shared" ref="L79:L142" si="41">getNeutralFeeOld(baseReward,$B79,IF(T_0/$B79+1&gt;W_0,T_0/$B79+1,W_0))*T_0*$C79</f>
        <v>0.28730000000000028</v>
      </c>
      <c r="M79" s="2">
        <f t="shared" ref="M79:M142" si="42">getNeutralFeeOld(baseReward,$B79,IF(T_0/$B79+1&gt;W_0,T_0/$B79+1,W_0))*T_0*$D79</f>
        <v>132.52498912100441</v>
      </c>
      <c r="N79" s="2">
        <f t="shared" ref="N79:N142" si="43">getNeutralFeeOld(baseReward,$B79,IF(T_0/$B79+1&gt;W_0,T_0/$B79+1,W_0))*T_0*$E79</f>
        <v>6.2283566705019142E-4</v>
      </c>
      <c r="O79" s="1">
        <f t="shared" ref="O79:O142" si="44">getNeutralFee(baseReward,$B79,T_0/$B79+1)*T_0*$C79</f>
        <v>1.1245643988404717E-2</v>
      </c>
      <c r="P79" s="1">
        <f t="shared" ref="P79:P142" si="45">getNeutralFee(baseReward,$B79,T_0/$B79+1)*T_0*$D79</f>
        <v>5.1873611111104161</v>
      </c>
      <c r="Q79" s="1">
        <f t="shared" ref="Q79:Q142" si="46">getNeutralFee(baseReward,$B79,T_0/$B79+1)*T_0*$E79</f>
        <v>2.4379353201973621E-5</v>
      </c>
      <c r="R79" s="1">
        <f t="shared" ref="R79:R142" si="47">getNeutralFee(baseReward,$B79,IF(T_0/$B79+1&gt;W_0,T_0/$B79+1,W_0))*$B79*$C79</f>
        <v>611.65379594309729</v>
      </c>
      <c r="S79" s="1">
        <f t="shared" ref="S79:S142" si="48">getNeutralFee(baseReward,$B79,IF(T_0/$B79+1&gt;W_0,T_0/$B79+1,W_0))*$B79*$D79</f>
        <v>282142.0558760179</v>
      </c>
      <c r="T79" s="1">
        <f t="shared" ref="T79:T142" si="49">getNeutralFee(baseReward,$B79,IF(T_0/$B79+1&gt;W_0,T_0/$B79+1,W_0))*$B79*$E79</f>
        <v>1.3260000000000012</v>
      </c>
      <c r="U79" s="2">
        <f t="shared" ref="U79:U142" si="50">getNeutralFeeOld(baseReward,$B79,IF(T_0/$B79+1&gt;W_0,T_0/$B79+1,W_0))*$B79*$C79</f>
        <v>611.65379594309729</v>
      </c>
      <c r="V79" s="2">
        <f t="shared" ref="V79:V142" si="51">getNeutralFeeOld(baseReward,$B79,IF(T_0/$B79+1&gt;W_0,T_0/$B79+1,W_0))*$B79*$D79</f>
        <v>282142.0558760179</v>
      </c>
      <c r="W79" s="2">
        <f t="shared" ref="W79:W142" si="52">getNeutralFeeOld(baseReward,$B79,IF(T_0/$B79+1&gt;W_0,T_0/$B79+1,W_0))*$B79*$E79</f>
        <v>1.3260000000000012</v>
      </c>
      <c r="X79" s="1">
        <f t="shared" ref="X79:X142" si="53">getNeutralFee(baseReward,$B79,T_0/$B79+1)*$B79*$C79</f>
        <v>23.941666666663458</v>
      </c>
      <c r="Y79" s="1">
        <f t="shared" ref="Y79:Y142" si="54">getNeutralFee(baseReward,$B79,T_0/$B79+1)*$B79*$D79</f>
        <v>11043.749093415545</v>
      </c>
      <c r="Z79" s="1">
        <f t="shared" ref="Z79:Z142" si="55">getNeutralFee(baseReward,$B79,T_0/$B79+1)*$B79*$E79</f>
        <v>5.1902972254175617E-2</v>
      </c>
      <c r="AA79" s="1"/>
      <c r="AB79" s="1"/>
      <c r="AC79" s="1"/>
    </row>
    <row r="80" spans="2:52" x14ac:dyDescent="0.25">
      <c r="B80" s="4">
        <f>IF(AND(T_0/(W_0-1)&gt;B79*1.1,T_0/(W_0-1)&lt;B79*1.1^2),T_0/(W_0-1),B79*1.1)</f>
        <v>30444306.585403007</v>
      </c>
      <c r="C80" s="4">
        <f t="shared" ref="C80:C143" si="56">(B80/$B$15)*XMRUSD</f>
        <v>6596.2664268373182</v>
      </c>
      <c r="D80" s="4">
        <f t="shared" si="39"/>
        <v>3346979.2902939357</v>
      </c>
      <c r="E80" s="2">
        <f t="shared" si="40"/>
        <v>13</v>
      </c>
      <c r="F80" s="1">
        <f t="shared" ref="F80:F143" si="57">getNeutralFee(baseReward,B80,IF(T_0/B80+1&gt;W_0,T_0/B80+1,W_0))*T_0*C80</f>
        <v>0.28730000000000022</v>
      </c>
      <c r="G80" s="1">
        <f t="shared" ref="G80:G143" si="58">getNeutralFee(baseReward,$B80,IF(T_0/$B80+1&gt;W_0,T_0/$B80+1,W_0))*T_0*D80</f>
        <v>145.77748803310485</v>
      </c>
      <c r="H80" s="1">
        <f t="shared" ref="H80:H143" si="59">getNeutralFee(baseReward,B80,IF(T_0/B80+1&gt;W_0,T_0/B80+1,W_0))*T_0*E80</f>
        <v>5.6621424277290128E-4</v>
      </c>
      <c r="I80" s="2">
        <f>getNeutralFeeOld(baseReward,$B80,W_0)*T_0*$C80</f>
        <v>0.28730000000000022</v>
      </c>
      <c r="J80" s="2">
        <f>getNeutralFeeOld(baseReward,$B80,W_0)*T_0*$D80</f>
        <v>145.77748803310485</v>
      </c>
      <c r="K80" s="2">
        <f>getNeutralFeeOld(baseReward,$B80,W_0)*T_0*$E80</f>
        <v>5.6621424277290128E-4</v>
      </c>
      <c r="L80" s="2">
        <f t="shared" si="41"/>
        <v>0.28730000000000022</v>
      </c>
      <c r="M80" s="2">
        <f t="shared" si="42"/>
        <v>145.77748803310485</v>
      </c>
      <c r="N80" s="2">
        <f t="shared" si="43"/>
        <v>5.6621424277290128E-4</v>
      </c>
      <c r="O80" s="1">
        <f t="shared" si="44"/>
        <v>1.0223312716733495E-2</v>
      </c>
      <c r="P80" s="1">
        <f t="shared" si="45"/>
        <v>5.1873611111113984</v>
      </c>
      <c r="Q80" s="1">
        <f t="shared" si="46"/>
        <v>2.0148225786758868E-5</v>
      </c>
      <c r="R80" s="1">
        <f t="shared" si="47"/>
        <v>672.81917553740709</v>
      </c>
      <c r="S80" s="1">
        <f t="shared" si="48"/>
        <v>341391.88760998176</v>
      </c>
      <c r="T80" s="1">
        <f t="shared" si="49"/>
        <v>1.3260000000000012</v>
      </c>
      <c r="U80" s="2">
        <f t="shared" si="50"/>
        <v>672.81917553740709</v>
      </c>
      <c r="V80" s="2">
        <f t="shared" si="51"/>
        <v>341391.88760998176</v>
      </c>
      <c r="W80" s="2">
        <f t="shared" si="52"/>
        <v>1.3260000000000012</v>
      </c>
      <c r="X80" s="1">
        <f t="shared" si="53"/>
        <v>23.941666666667988</v>
      </c>
      <c r="Y80" s="1">
        <f t="shared" si="54"/>
        <v>12148.124002759399</v>
      </c>
      <c r="Z80" s="1">
        <f t="shared" si="55"/>
        <v>4.7184520231077672E-2</v>
      </c>
      <c r="AA80" s="1"/>
      <c r="AB80" s="1"/>
      <c r="AC80" s="1"/>
    </row>
    <row r="81" spans="2:29" x14ac:dyDescent="0.25">
      <c r="B81" s="4"/>
      <c r="C81" s="4"/>
      <c r="D81" s="4"/>
      <c r="F81" s="1"/>
      <c r="G81" s="1"/>
      <c r="H81" s="1"/>
      <c r="O81" s="1"/>
      <c r="P81" s="1"/>
      <c r="Q81" s="1"/>
      <c r="R81" s="1"/>
      <c r="S81" s="1"/>
      <c r="T81" s="1"/>
      <c r="X81" s="1"/>
      <c r="Y81" s="1"/>
      <c r="Z81" s="1"/>
      <c r="AA81" s="1"/>
      <c r="AB81" s="1"/>
      <c r="AC81" s="1"/>
    </row>
    <row r="82" spans="2:29" x14ac:dyDescent="0.25">
      <c r="B82" s="4"/>
      <c r="C82" s="4"/>
      <c r="D82" s="4"/>
      <c r="F82" s="1"/>
      <c r="G82" s="1"/>
      <c r="H82" s="1"/>
      <c r="O82" s="1"/>
      <c r="P82" s="1"/>
      <c r="Q82" s="1"/>
      <c r="R82" s="1"/>
      <c r="S82" s="1"/>
      <c r="T82" s="1"/>
      <c r="X82" s="1"/>
      <c r="Y82" s="1"/>
      <c r="Z82" s="1"/>
      <c r="AA82" s="1"/>
      <c r="AB82" s="1"/>
      <c r="AC82" s="1"/>
    </row>
    <row r="83" spans="2:29" x14ac:dyDescent="0.25">
      <c r="B83" s="4"/>
      <c r="C83" s="4"/>
      <c r="D83" s="4"/>
      <c r="F83" s="1"/>
      <c r="G83" s="1"/>
      <c r="H83" s="1"/>
      <c r="O83" s="1"/>
      <c r="P83" s="1"/>
      <c r="Q83" s="1"/>
      <c r="R83" s="1"/>
      <c r="S83" s="1"/>
      <c r="T83" s="1"/>
      <c r="X83" s="1"/>
      <c r="Y83" s="1"/>
      <c r="Z83" s="1"/>
      <c r="AA83" s="1"/>
      <c r="AB83" s="1"/>
      <c r="AC83" s="1"/>
    </row>
    <row r="84" spans="2:29" x14ac:dyDescent="0.25">
      <c r="B84" s="4"/>
      <c r="C84" s="4"/>
      <c r="D84" s="4"/>
      <c r="F84" s="1"/>
      <c r="G84" s="1"/>
      <c r="H84" s="1"/>
      <c r="O84" s="1"/>
      <c r="P84" s="1"/>
      <c r="Q84" s="1"/>
      <c r="R84" s="1"/>
      <c r="S84" s="1"/>
      <c r="T84" s="1"/>
      <c r="X84" s="1"/>
      <c r="Y84" s="1"/>
      <c r="Z84" s="1"/>
      <c r="AA84" s="1"/>
      <c r="AB84" s="1"/>
      <c r="AC84" s="1"/>
    </row>
    <row r="85" spans="2:29" x14ac:dyDescent="0.25">
      <c r="B85" s="4"/>
      <c r="C85" s="4"/>
      <c r="D85" s="4"/>
      <c r="F85" s="1"/>
      <c r="G85" s="1"/>
      <c r="H85" s="1"/>
      <c r="O85" s="1"/>
      <c r="P85" s="1"/>
      <c r="Q85" s="1"/>
      <c r="R85" s="1"/>
      <c r="S85" s="1"/>
      <c r="T85" s="1"/>
      <c r="X85" s="1"/>
      <c r="Y85" s="1"/>
      <c r="Z85" s="1"/>
      <c r="AA85" s="1"/>
      <c r="AB85" s="1"/>
      <c r="AC85" s="1"/>
    </row>
    <row r="86" spans="2:29" x14ac:dyDescent="0.25">
      <c r="B86" s="4"/>
      <c r="C86" s="4"/>
      <c r="D86" s="4"/>
      <c r="F86" s="1"/>
      <c r="G86" s="1"/>
      <c r="H86" s="1"/>
      <c r="O86" s="1"/>
      <c r="P86" s="1"/>
      <c r="Q86" s="1"/>
      <c r="R86" s="1"/>
      <c r="S86" s="1"/>
      <c r="T86" s="1"/>
      <c r="X86" s="1"/>
      <c r="Y86" s="1"/>
      <c r="Z86" s="1"/>
      <c r="AA86" s="1"/>
      <c r="AB86" s="1"/>
      <c r="AC86" s="1"/>
    </row>
    <row r="87" spans="2:29" x14ac:dyDescent="0.25">
      <c r="B87" s="4"/>
      <c r="C87" s="4"/>
      <c r="D87" s="4"/>
      <c r="F87" s="1"/>
      <c r="G87" s="1"/>
      <c r="H87" s="1"/>
      <c r="O87" s="1"/>
      <c r="P87" s="1"/>
      <c r="Q87" s="1"/>
      <c r="R87" s="1"/>
      <c r="S87" s="1"/>
      <c r="T87" s="1"/>
      <c r="X87" s="1"/>
      <c r="Y87" s="1"/>
      <c r="Z87" s="1"/>
      <c r="AA87" s="1"/>
      <c r="AB87" s="1"/>
      <c r="AC87" s="1"/>
    </row>
    <row r="88" spans="2:29" x14ac:dyDescent="0.25">
      <c r="B88" s="4"/>
      <c r="C88" s="4"/>
      <c r="D88" s="4"/>
      <c r="F88" s="1"/>
      <c r="G88" s="1"/>
      <c r="H88" s="1"/>
      <c r="O88" s="1"/>
      <c r="P88" s="1"/>
      <c r="Q88" s="1"/>
      <c r="R88" s="1"/>
      <c r="S88" s="1"/>
      <c r="T88" s="1"/>
      <c r="X88" s="1"/>
      <c r="Y88" s="1"/>
      <c r="Z88" s="1"/>
      <c r="AA88" s="1"/>
      <c r="AB88" s="1"/>
      <c r="AC88" s="1"/>
    </row>
    <row r="89" spans="2:29" x14ac:dyDescent="0.25">
      <c r="B89" s="4"/>
      <c r="C89" s="4"/>
      <c r="D89" s="4"/>
      <c r="F89" s="1"/>
      <c r="G89" s="1"/>
      <c r="H89" s="1"/>
      <c r="O89" s="1"/>
      <c r="P89" s="1"/>
      <c r="Q89" s="1"/>
      <c r="R89" s="1"/>
      <c r="S89" s="1"/>
      <c r="T89" s="1"/>
      <c r="X89" s="1"/>
      <c r="Y89" s="1"/>
      <c r="Z89" s="1"/>
      <c r="AA89" s="1"/>
      <c r="AB89" s="1"/>
      <c r="AC89" s="1"/>
    </row>
    <row r="90" spans="2:29" x14ac:dyDescent="0.25">
      <c r="B90" s="4"/>
      <c r="C90" s="4"/>
      <c r="D90" s="4"/>
      <c r="F90" s="1"/>
      <c r="G90" s="1"/>
      <c r="H90" s="1"/>
      <c r="O90" s="1"/>
      <c r="P90" s="1"/>
      <c r="Q90" s="1"/>
      <c r="R90" s="1"/>
      <c r="S90" s="1"/>
      <c r="T90" s="1"/>
      <c r="X90" s="1"/>
      <c r="Y90" s="1"/>
      <c r="Z90" s="1"/>
      <c r="AA90" s="1"/>
      <c r="AB90" s="1"/>
      <c r="AC90" s="1"/>
    </row>
    <row r="91" spans="2:29" x14ac:dyDescent="0.25">
      <c r="B91" s="4"/>
      <c r="C91" s="4"/>
      <c r="D91" s="4"/>
      <c r="F91" s="1"/>
      <c r="G91" s="1"/>
      <c r="H91" s="1"/>
      <c r="O91" s="1"/>
      <c r="P91" s="1"/>
      <c r="Q91" s="1"/>
      <c r="R91" s="1"/>
      <c r="S91" s="1"/>
      <c r="T91" s="1"/>
      <c r="X91" s="1"/>
      <c r="Y91" s="1"/>
      <c r="Z91" s="1"/>
      <c r="AA91" s="1"/>
      <c r="AB91" s="1"/>
      <c r="AC91" s="1"/>
    </row>
    <row r="92" spans="2:29" x14ac:dyDescent="0.25">
      <c r="B92" s="4"/>
      <c r="C92" s="4"/>
      <c r="D92" s="4"/>
      <c r="F92" s="1"/>
      <c r="G92" s="1"/>
      <c r="H92" s="1"/>
      <c r="O92" s="1"/>
      <c r="P92" s="1"/>
      <c r="Q92" s="1"/>
      <c r="R92" s="1"/>
      <c r="S92" s="1"/>
      <c r="T92" s="1"/>
      <c r="X92" s="1"/>
      <c r="Y92" s="1"/>
      <c r="Z92" s="1"/>
      <c r="AA92" s="1"/>
      <c r="AB92" s="1"/>
      <c r="AC92" s="1"/>
    </row>
    <row r="93" spans="2:29" x14ac:dyDescent="0.25">
      <c r="B93" s="4"/>
      <c r="C93" s="4"/>
      <c r="D93" s="4"/>
      <c r="F93" s="1"/>
      <c r="G93" s="1"/>
      <c r="H93" s="1"/>
      <c r="O93" s="1"/>
      <c r="P93" s="1"/>
      <c r="Q93" s="1"/>
      <c r="R93" s="1"/>
      <c r="S93" s="1"/>
      <c r="T93" s="1"/>
      <c r="X93" s="1"/>
      <c r="Y93" s="1"/>
      <c r="Z93" s="1"/>
      <c r="AA93" s="1"/>
      <c r="AB93" s="1"/>
      <c r="AC93" s="1"/>
    </row>
    <row r="94" spans="2:29" x14ac:dyDescent="0.25">
      <c r="B94" s="4"/>
      <c r="C94" s="4"/>
      <c r="D94" s="4"/>
      <c r="F94" s="1"/>
      <c r="G94" s="1"/>
      <c r="H94" s="1"/>
      <c r="O94" s="1"/>
      <c r="P94" s="1"/>
      <c r="Q94" s="1"/>
      <c r="R94" s="1"/>
      <c r="S94" s="1"/>
      <c r="T94" s="1"/>
      <c r="X94" s="1"/>
      <c r="Y94" s="1"/>
      <c r="Z94" s="1"/>
      <c r="AA94" s="1"/>
      <c r="AB94" s="1"/>
      <c r="AC94" s="1"/>
    </row>
    <row r="95" spans="2:29" x14ac:dyDescent="0.25">
      <c r="B95" s="4"/>
      <c r="C95" s="4"/>
      <c r="D95" s="4"/>
      <c r="F95" s="1"/>
      <c r="G95" s="1"/>
      <c r="H95" s="1"/>
      <c r="O95" s="1"/>
      <c r="P95" s="1"/>
      <c r="Q95" s="1"/>
      <c r="R95" s="1"/>
      <c r="S95" s="1"/>
      <c r="T95" s="1"/>
      <c r="X95" s="1"/>
      <c r="Y95" s="1"/>
      <c r="Z95" s="1"/>
      <c r="AA95" s="1"/>
      <c r="AB95" s="1"/>
      <c r="AC95" s="1"/>
    </row>
    <row r="96" spans="2:29" x14ac:dyDescent="0.25">
      <c r="B96" s="4"/>
      <c r="C96" s="4"/>
      <c r="D96" s="4"/>
      <c r="F96" s="1"/>
      <c r="G96" s="1"/>
      <c r="H96" s="1"/>
      <c r="O96" s="1"/>
      <c r="P96" s="1"/>
      <c r="Q96" s="1"/>
      <c r="R96" s="1"/>
      <c r="S96" s="1"/>
      <c r="T96" s="1"/>
      <c r="X96" s="1"/>
      <c r="Y96" s="1"/>
      <c r="Z96" s="1"/>
      <c r="AA96" s="1"/>
      <c r="AB96" s="1"/>
      <c r="AC96" s="1"/>
    </row>
    <row r="97" spans="2:29" x14ac:dyDescent="0.25">
      <c r="B97" s="4"/>
      <c r="C97" s="4"/>
      <c r="D97" s="4"/>
      <c r="F97" s="1"/>
      <c r="G97" s="1"/>
      <c r="H97" s="1"/>
      <c r="O97" s="1"/>
      <c r="P97" s="1"/>
      <c r="Q97" s="1"/>
      <c r="R97" s="1"/>
      <c r="S97" s="1"/>
      <c r="T97" s="1"/>
      <c r="X97" s="1"/>
      <c r="Y97" s="1"/>
      <c r="Z97" s="1"/>
      <c r="AA97" s="1"/>
      <c r="AB97" s="1"/>
      <c r="AC97" s="1"/>
    </row>
    <row r="98" spans="2:29" x14ac:dyDescent="0.25">
      <c r="B98" s="4"/>
      <c r="C98" s="4"/>
      <c r="D98" s="4"/>
      <c r="F98" s="1"/>
      <c r="G98" s="1"/>
      <c r="H98" s="1"/>
      <c r="O98" s="1"/>
      <c r="P98" s="1"/>
      <c r="Q98" s="1"/>
      <c r="R98" s="1"/>
      <c r="S98" s="1"/>
      <c r="T98" s="1"/>
      <c r="X98" s="1"/>
      <c r="Y98" s="1"/>
      <c r="Z98" s="1"/>
      <c r="AA98" s="1"/>
      <c r="AB98" s="1"/>
      <c r="AC98" s="1"/>
    </row>
    <row r="99" spans="2:29" x14ac:dyDescent="0.25">
      <c r="B99" s="4"/>
      <c r="C99" s="4"/>
      <c r="D99" s="4"/>
      <c r="F99" s="1"/>
      <c r="G99" s="1"/>
      <c r="H99" s="1"/>
      <c r="O99" s="1"/>
      <c r="P99" s="1"/>
      <c r="Q99" s="1"/>
      <c r="R99" s="1"/>
      <c r="S99" s="1"/>
      <c r="T99" s="1"/>
      <c r="X99" s="1"/>
      <c r="Y99" s="1"/>
      <c r="Z99" s="1"/>
      <c r="AA99" s="1"/>
      <c r="AB99" s="1"/>
      <c r="AC99" s="1"/>
    </row>
    <row r="100" spans="2:29" x14ac:dyDescent="0.25">
      <c r="B100" s="4"/>
      <c r="C100" s="4"/>
      <c r="D100" s="4"/>
      <c r="F100" s="1"/>
      <c r="G100" s="1"/>
      <c r="H100" s="1"/>
      <c r="O100" s="1"/>
      <c r="P100" s="1"/>
      <c r="Q100" s="1"/>
      <c r="R100" s="1"/>
      <c r="S100" s="1"/>
      <c r="T100" s="1"/>
      <c r="X100" s="1"/>
      <c r="Y100" s="1"/>
      <c r="Z100" s="1"/>
      <c r="AA100" s="1"/>
      <c r="AB100" s="1"/>
      <c r="AC100" s="1"/>
    </row>
    <row r="101" spans="2:29" x14ac:dyDescent="0.25">
      <c r="B101" s="4"/>
      <c r="C101" s="4"/>
      <c r="D101" s="4"/>
      <c r="F101" s="1"/>
      <c r="G101" s="1"/>
      <c r="H101" s="1"/>
      <c r="O101" s="1"/>
      <c r="P101" s="1"/>
      <c r="Q101" s="1"/>
      <c r="R101" s="1"/>
      <c r="S101" s="1"/>
      <c r="T101" s="1"/>
      <c r="X101" s="1"/>
      <c r="Y101" s="1"/>
      <c r="Z101" s="1"/>
      <c r="AA101" s="1"/>
      <c r="AB101" s="1"/>
      <c r="AC101" s="1"/>
    </row>
    <row r="102" spans="2:29" x14ac:dyDescent="0.25">
      <c r="B102" s="4"/>
      <c r="C102" s="4"/>
      <c r="D102" s="4"/>
      <c r="F102" s="1"/>
      <c r="G102" s="1"/>
      <c r="H102" s="1"/>
      <c r="O102" s="1"/>
      <c r="P102" s="1"/>
      <c r="Q102" s="1"/>
      <c r="R102" s="1"/>
      <c r="S102" s="1"/>
      <c r="T102" s="1"/>
      <c r="X102" s="1"/>
      <c r="Y102" s="1"/>
      <c r="Z102" s="1"/>
      <c r="AA102" s="1"/>
      <c r="AB102" s="1"/>
      <c r="AC102" s="1"/>
    </row>
    <row r="103" spans="2:29" x14ac:dyDescent="0.25">
      <c r="B103" s="4"/>
      <c r="C103" s="4"/>
      <c r="D103" s="4"/>
      <c r="F103" s="1"/>
      <c r="G103" s="1"/>
      <c r="H103" s="1"/>
      <c r="O103" s="1"/>
      <c r="P103" s="1"/>
      <c r="Q103" s="1"/>
      <c r="R103" s="1"/>
      <c r="S103" s="1"/>
      <c r="T103" s="1"/>
      <c r="X103" s="1"/>
      <c r="Y103" s="1"/>
      <c r="Z103" s="1"/>
      <c r="AA103" s="1"/>
      <c r="AB103" s="1"/>
      <c r="AC103" s="1"/>
    </row>
    <row r="104" spans="2:29" x14ac:dyDescent="0.25">
      <c r="B104" s="4"/>
      <c r="C104" s="4"/>
      <c r="D104" s="4"/>
      <c r="F104" s="1"/>
      <c r="G104" s="1"/>
      <c r="H104" s="1"/>
      <c r="O104" s="1"/>
      <c r="P104" s="1"/>
      <c r="Q104" s="1"/>
      <c r="R104" s="1"/>
      <c r="S104" s="1"/>
      <c r="T104" s="1"/>
      <c r="X104" s="1"/>
      <c r="Y104" s="1"/>
      <c r="Z104" s="1"/>
      <c r="AA104" s="1"/>
      <c r="AB104" s="1"/>
      <c r="AC104" s="1"/>
    </row>
    <row r="105" spans="2:29" x14ac:dyDescent="0.25">
      <c r="B105" s="4"/>
      <c r="C105" s="4"/>
      <c r="D105" s="4"/>
      <c r="F105" s="1"/>
      <c r="G105" s="1"/>
      <c r="H105" s="1"/>
      <c r="O105" s="1"/>
      <c r="P105" s="1"/>
      <c r="Q105" s="1"/>
      <c r="R105" s="1"/>
      <c r="S105" s="1"/>
      <c r="T105" s="1"/>
      <c r="X105" s="1"/>
      <c r="Y105" s="1"/>
      <c r="Z105" s="1"/>
      <c r="AA105" s="1"/>
      <c r="AB105" s="1"/>
      <c r="AC105" s="1"/>
    </row>
    <row r="106" spans="2:29" x14ac:dyDescent="0.25">
      <c r="B106" s="4"/>
      <c r="C106" s="4"/>
      <c r="D106" s="4"/>
      <c r="F106" s="1"/>
      <c r="G106" s="1"/>
      <c r="H106" s="1"/>
      <c r="O106" s="1"/>
      <c r="P106" s="1"/>
      <c r="Q106" s="1"/>
      <c r="R106" s="1"/>
      <c r="S106" s="1"/>
      <c r="T106" s="1"/>
      <c r="X106" s="1"/>
      <c r="Y106" s="1"/>
      <c r="Z106" s="1"/>
      <c r="AA106" s="1"/>
      <c r="AB106" s="1"/>
      <c r="AC106" s="1"/>
    </row>
    <row r="107" spans="2:29" x14ac:dyDescent="0.25">
      <c r="B107" s="4"/>
      <c r="C107" s="4"/>
      <c r="D107" s="4"/>
      <c r="F107" s="1"/>
      <c r="G107" s="1"/>
      <c r="H107" s="1"/>
      <c r="O107" s="1"/>
      <c r="P107" s="1"/>
      <c r="Q107" s="1"/>
      <c r="R107" s="1"/>
      <c r="S107" s="1"/>
      <c r="T107" s="1"/>
      <c r="X107" s="1"/>
      <c r="Y107" s="1"/>
      <c r="Z107" s="1"/>
      <c r="AA107" s="1"/>
      <c r="AB107" s="1"/>
      <c r="AC107" s="1"/>
    </row>
    <row r="108" spans="2:29" x14ac:dyDescent="0.25">
      <c r="B108" s="4"/>
      <c r="C108" s="4"/>
      <c r="D108" s="4"/>
      <c r="F108" s="1"/>
      <c r="G108" s="1"/>
      <c r="H108" s="1"/>
      <c r="O108" s="1"/>
      <c r="P108" s="1"/>
      <c r="Q108" s="1"/>
      <c r="R108" s="1"/>
      <c r="S108" s="1"/>
      <c r="T108" s="1"/>
      <c r="X108" s="1"/>
      <c r="Y108" s="1"/>
      <c r="Z108" s="1"/>
      <c r="AA108" s="1"/>
      <c r="AB108" s="1"/>
      <c r="AC108" s="1"/>
    </row>
    <row r="109" spans="2:29" x14ac:dyDescent="0.25">
      <c r="B109" s="4"/>
      <c r="C109" s="4"/>
      <c r="D109" s="4"/>
      <c r="F109" s="1"/>
      <c r="G109" s="1"/>
      <c r="H109" s="1"/>
      <c r="O109" s="1"/>
      <c r="P109" s="1"/>
      <c r="Q109" s="1"/>
      <c r="R109" s="1"/>
      <c r="S109" s="1"/>
      <c r="T109" s="1"/>
      <c r="X109" s="1"/>
      <c r="Y109" s="1"/>
      <c r="Z109" s="1"/>
      <c r="AA109" s="1"/>
      <c r="AB109" s="1"/>
      <c r="AC109" s="1"/>
    </row>
    <row r="110" spans="2:29" x14ac:dyDescent="0.25">
      <c r="B110" s="4"/>
      <c r="C110" s="4"/>
      <c r="D110" s="4"/>
      <c r="F110" s="1"/>
      <c r="G110" s="1"/>
      <c r="H110" s="1"/>
      <c r="O110" s="1"/>
      <c r="P110" s="1"/>
      <c r="Q110" s="1"/>
      <c r="R110" s="1"/>
      <c r="S110" s="1"/>
      <c r="T110" s="1"/>
      <c r="X110" s="1"/>
      <c r="Y110" s="1"/>
      <c r="Z110" s="1"/>
      <c r="AA110" s="1"/>
      <c r="AB110" s="1"/>
      <c r="AC110" s="1"/>
    </row>
    <row r="111" spans="2:29" x14ac:dyDescent="0.25">
      <c r="B111" s="4"/>
      <c r="C111" s="4"/>
      <c r="D111" s="4"/>
      <c r="F111" s="1"/>
      <c r="G111" s="1"/>
      <c r="H111" s="1"/>
      <c r="O111" s="1"/>
      <c r="P111" s="1"/>
      <c r="Q111" s="1"/>
      <c r="R111" s="1"/>
      <c r="S111" s="1"/>
      <c r="T111" s="1"/>
      <c r="X111" s="1"/>
      <c r="Y111" s="1"/>
      <c r="Z111" s="1"/>
      <c r="AA111" s="1"/>
      <c r="AB111" s="1"/>
      <c r="AC111" s="1"/>
    </row>
    <row r="112" spans="2:29" x14ac:dyDescent="0.25">
      <c r="B112" s="4"/>
      <c r="C112" s="4"/>
      <c r="D112" s="4"/>
      <c r="F112" s="1"/>
      <c r="G112" s="1"/>
      <c r="H112" s="1"/>
      <c r="O112" s="1"/>
      <c r="P112" s="1"/>
      <c r="Q112" s="1"/>
      <c r="R112" s="1"/>
      <c r="S112" s="1"/>
      <c r="T112" s="1"/>
      <c r="X112" s="1"/>
      <c r="Y112" s="1"/>
      <c r="Z112" s="1"/>
      <c r="AA112" s="1"/>
      <c r="AB112" s="1"/>
      <c r="AC112" s="1"/>
    </row>
    <row r="113" spans="2:29" x14ac:dyDescent="0.25">
      <c r="B113" s="4"/>
      <c r="C113" s="4"/>
      <c r="D113" s="4"/>
      <c r="F113" s="1"/>
      <c r="G113" s="1"/>
      <c r="H113" s="1"/>
      <c r="O113" s="1"/>
      <c r="P113" s="1"/>
      <c r="Q113" s="1"/>
      <c r="R113" s="1"/>
      <c r="S113" s="1"/>
      <c r="T113" s="1"/>
      <c r="X113" s="1"/>
      <c r="Y113" s="1"/>
      <c r="Z113" s="1"/>
      <c r="AA113" s="1"/>
      <c r="AB113" s="1"/>
      <c r="AC113" s="1"/>
    </row>
    <row r="114" spans="2:29" x14ac:dyDescent="0.25">
      <c r="B114" s="4"/>
      <c r="C114" s="4"/>
      <c r="D114" s="4"/>
      <c r="F114" s="1"/>
      <c r="G114" s="1"/>
      <c r="H114" s="1"/>
      <c r="O114" s="1"/>
      <c r="P114" s="1"/>
      <c r="Q114" s="1"/>
      <c r="R114" s="1"/>
      <c r="S114" s="1"/>
      <c r="T114" s="1"/>
      <c r="X114" s="1"/>
      <c r="Y114" s="1"/>
      <c r="Z114" s="1"/>
      <c r="AA114" s="1"/>
      <c r="AB114" s="1"/>
      <c r="AC114" s="1"/>
    </row>
    <row r="115" spans="2:29" x14ac:dyDescent="0.25">
      <c r="B115" s="4"/>
      <c r="C115" s="4"/>
      <c r="D115" s="4"/>
      <c r="F115" s="1"/>
      <c r="G115" s="1"/>
      <c r="H115" s="1"/>
      <c r="O115" s="1"/>
      <c r="P115" s="1"/>
      <c r="Q115" s="1"/>
      <c r="R115" s="1"/>
      <c r="S115" s="1"/>
      <c r="T115" s="1"/>
      <c r="X115" s="1"/>
      <c r="Y115" s="1"/>
      <c r="Z115" s="1"/>
      <c r="AA115" s="1"/>
      <c r="AB115" s="1"/>
      <c r="AC115" s="1"/>
    </row>
    <row r="116" spans="2:29" x14ac:dyDescent="0.25">
      <c r="B116" s="4"/>
      <c r="C116" s="4"/>
      <c r="D116" s="4"/>
      <c r="F116" s="1"/>
      <c r="G116" s="1"/>
      <c r="H116" s="1"/>
      <c r="O116" s="1"/>
      <c r="P116" s="1"/>
      <c r="Q116" s="1"/>
      <c r="R116" s="1"/>
      <c r="S116" s="1"/>
      <c r="T116" s="1"/>
      <c r="X116" s="1"/>
      <c r="Y116" s="1"/>
      <c r="Z116" s="1"/>
      <c r="AA116" s="1"/>
      <c r="AB116" s="1"/>
      <c r="AC116" s="1"/>
    </row>
    <row r="117" spans="2:29" x14ac:dyDescent="0.25">
      <c r="B117" s="4"/>
      <c r="C117" s="4"/>
      <c r="D117" s="4"/>
      <c r="F117" s="1"/>
      <c r="G117" s="1"/>
      <c r="H117" s="1"/>
      <c r="O117" s="1"/>
      <c r="P117" s="1"/>
      <c r="Q117" s="1"/>
      <c r="R117" s="1"/>
      <c r="S117" s="1"/>
      <c r="T117" s="1"/>
      <c r="X117" s="1"/>
      <c r="Y117" s="1"/>
      <c r="Z117" s="1"/>
      <c r="AA117" s="1"/>
      <c r="AB117" s="1"/>
      <c r="AC117" s="1"/>
    </row>
    <row r="118" spans="2:29" x14ac:dyDescent="0.25">
      <c r="B118" s="4"/>
      <c r="C118" s="4"/>
      <c r="D118" s="4"/>
      <c r="F118" s="1"/>
      <c r="G118" s="1"/>
      <c r="H118" s="1"/>
      <c r="O118" s="1"/>
      <c r="P118" s="1"/>
      <c r="Q118" s="1"/>
      <c r="R118" s="1"/>
      <c r="S118" s="1"/>
      <c r="T118" s="1"/>
      <c r="X118" s="1"/>
      <c r="Y118" s="1"/>
      <c r="Z118" s="1"/>
      <c r="AA118" s="1"/>
      <c r="AB118" s="1"/>
      <c r="AC118" s="1"/>
    </row>
    <row r="119" spans="2:29" x14ac:dyDescent="0.25">
      <c r="B119" s="4"/>
      <c r="C119" s="4"/>
      <c r="D119" s="4"/>
      <c r="F119" s="1"/>
      <c r="G119" s="1"/>
      <c r="H119" s="1"/>
      <c r="O119" s="1"/>
      <c r="P119" s="1"/>
      <c r="Q119" s="1"/>
      <c r="R119" s="1"/>
      <c r="S119" s="1"/>
      <c r="T119" s="1"/>
      <c r="X119" s="1"/>
      <c r="Y119" s="1"/>
      <c r="Z119" s="1"/>
      <c r="AA119" s="1"/>
      <c r="AB119" s="1"/>
      <c r="AC119" s="1"/>
    </row>
    <row r="120" spans="2:29" x14ac:dyDescent="0.25">
      <c r="B120" s="4"/>
      <c r="C120" s="4"/>
      <c r="D120" s="4"/>
      <c r="F120" s="1"/>
      <c r="G120" s="1"/>
      <c r="H120" s="1"/>
      <c r="O120" s="1"/>
      <c r="P120" s="1"/>
      <c r="Q120" s="1"/>
      <c r="R120" s="1"/>
      <c r="S120" s="1"/>
      <c r="T120" s="1"/>
      <c r="X120" s="1"/>
      <c r="Y120" s="1"/>
      <c r="Z120" s="1"/>
      <c r="AA120" s="1"/>
      <c r="AB120" s="1"/>
      <c r="AC120" s="1"/>
    </row>
    <row r="121" spans="2:29" x14ac:dyDescent="0.25">
      <c r="B121" s="4"/>
      <c r="C121" s="4"/>
      <c r="D121" s="4"/>
      <c r="F121" s="1"/>
      <c r="G121" s="1"/>
      <c r="H121" s="1"/>
      <c r="O121" s="1"/>
      <c r="P121" s="1"/>
      <c r="Q121" s="1"/>
      <c r="R121" s="1"/>
      <c r="S121" s="1"/>
      <c r="T121" s="1"/>
      <c r="X121" s="1"/>
      <c r="Y121" s="1"/>
      <c r="Z121" s="1"/>
      <c r="AA121" s="1"/>
      <c r="AB121" s="1"/>
      <c r="AC121" s="1"/>
    </row>
    <row r="122" spans="2:29" x14ac:dyDescent="0.25">
      <c r="B122" s="4"/>
      <c r="C122" s="4"/>
      <c r="D122" s="4"/>
      <c r="F122" s="1"/>
      <c r="G122" s="1"/>
      <c r="H122" s="1"/>
      <c r="O122" s="1"/>
      <c r="P122" s="1"/>
      <c r="Q122" s="1"/>
      <c r="R122" s="1"/>
      <c r="S122" s="1"/>
      <c r="T122" s="1"/>
      <c r="X122" s="1"/>
      <c r="Y122" s="1"/>
      <c r="Z122" s="1"/>
      <c r="AA122" s="1"/>
      <c r="AB122" s="1"/>
      <c r="AC122" s="1"/>
    </row>
    <row r="123" spans="2:29" x14ac:dyDescent="0.25">
      <c r="B123" s="4"/>
      <c r="C123" s="4"/>
      <c r="D123" s="4"/>
      <c r="F123" s="1"/>
      <c r="G123" s="1"/>
      <c r="H123" s="1"/>
      <c r="O123" s="1"/>
      <c r="P123" s="1"/>
      <c r="Q123" s="1"/>
      <c r="R123" s="1"/>
      <c r="S123" s="1"/>
      <c r="T123" s="1"/>
      <c r="X123" s="1"/>
      <c r="Y123" s="1"/>
      <c r="Z123" s="1"/>
      <c r="AA123" s="1"/>
      <c r="AB123" s="1"/>
      <c r="AC123" s="1"/>
    </row>
    <row r="124" spans="2:29" x14ac:dyDescent="0.25">
      <c r="B124" s="4"/>
      <c r="C124" s="4"/>
      <c r="D124" s="4"/>
      <c r="F124" s="1"/>
      <c r="G124" s="1"/>
      <c r="H124" s="1"/>
      <c r="O124" s="1"/>
      <c r="P124" s="1"/>
      <c r="Q124" s="1"/>
      <c r="R124" s="1"/>
      <c r="S124" s="1"/>
      <c r="T124" s="1"/>
      <c r="X124" s="1"/>
      <c r="Y124" s="1"/>
      <c r="Z124" s="1"/>
      <c r="AA124" s="1"/>
      <c r="AB124" s="1"/>
      <c r="AC124" s="1"/>
    </row>
    <row r="125" spans="2:29" x14ac:dyDescent="0.25">
      <c r="B125" s="4"/>
      <c r="C125" s="4"/>
      <c r="D125" s="4"/>
      <c r="F125" s="1"/>
      <c r="G125" s="1"/>
      <c r="H125" s="1"/>
      <c r="O125" s="1"/>
      <c r="P125" s="1"/>
      <c r="Q125" s="1"/>
      <c r="R125" s="1"/>
      <c r="S125" s="1"/>
      <c r="T125" s="1"/>
      <c r="X125" s="1"/>
      <c r="Y125" s="1"/>
      <c r="Z125" s="1"/>
      <c r="AA125" s="1"/>
      <c r="AB125" s="1"/>
      <c r="AC125" s="1"/>
    </row>
    <row r="126" spans="2:29" x14ac:dyDescent="0.25">
      <c r="B126" s="4"/>
      <c r="C126" s="4"/>
      <c r="D126" s="4"/>
      <c r="F126" s="1"/>
      <c r="G126" s="1"/>
      <c r="H126" s="1"/>
      <c r="O126" s="1"/>
      <c r="P126" s="1"/>
      <c r="Q126" s="1"/>
      <c r="R126" s="1"/>
      <c r="S126" s="1"/>
      <c r="T126" s="1"/>
      <c r="X126" s="1"/>
      <c r="Y126" s="1"/>
      <c r="Z126" s="1"/>
      <c r="AA126" s="1"/>
      <c r="AB126" s="1"/>
      <c r="AC126" s="1"/>
    </row>
    <row r="127" spans="2:29" x14ac:dyDescent="0.25">
      <c r="B127" s="4"/>
      <c r="C127" s="4"/>
      <c r="D127" s="4"/>
      <c r="F127" s="1"/>
      <c r="G127" s="1"/>
      <c r="H127" s="1"/>
      <c r="O127" s="1"/>
      <c r="P127" s="1"/>
      <c r="Q127" s="1"/>
      <c r="R127" s="1"/>
      <c r="S127" s="1"/>
      <c r="T127" s="1"/>
      <c r="X127" s="1"/>
      <c r="Y127" s="1"/>
      <c r="Z127" s="1"/>
      <c r="AA127" s="1"/>
      <c r="AB127" s="1"/>
      <c r="AC127" s="1"/>
    </row>
    <row r="128" spans="2:29" x14ac:dyDescent="0.25">
      <c r="B128" s="4"/>
      <c r="C128" s="4"/>
      <c r="D128" s="4"/>
      <c r="F128" s="1"/>
      <c r="G128" s="1"/>
      <c r="H128" s="1"/>
      <c r="O128" s="1"/>
      <c r="P128" s="1"/>
      <c r="Q128" s="1"/>
      <c r="R128" s="1"/>
      <c r="S128" s="1"/>
      <c r="T128" s="1"/>
      <c r="X128" s="1"/>
      <c r="Y128" s="1"/>
      <c r="Z128" s="1"/>
      <c r="AA128" s="1"/>
      <c r="AB128" s="1"/>
      <c r="AC128" s="1"/>
    </row>
    <row r="129" spans="2:29" x14ac:dyDescent="0.25">
      <c r="B129" s="4"/>
      <c r="C129" s="4"/>
      <c r="D129" s="4"/>
      <c r="F129" s="1"/>
      <c r="G129" s="1"/>
      <c r="H129" s="1"/>
      <c r="O129" s="1"/>
      <c r="P129" s="1"/>
      <c r="Q129" s="1"/>
      <c r="R129" s="1"/>
      <c r="S129" s="1"/>
      <c r="T129" s="1"/>
      <c r="X129" s="1"/>
      <c r="Y129" s="1"/>
      <c r="Z129" s="1"/>
      <c r="AA129" s="1"/>
      <c r="AB129" s="1"/>
      <c r="AC129" s="1"/>
    </row>
    <row r="130" spans="2:29" x14ac:dyDescent="0.25">
      <c r="B130" s="4"/>
      <c r="C130" s="4"/>
      <c r="D130" s="4"/>
      <c r="F130" s="1"/>
      <c r="G130" s="1"/>
      <c r="H130" s="1"/>
      <c r="O130" s="1"/>
      <c r="P130" s="1"/>
      <c r="Q130" s="1"/>
      <c r="R130" s="1"/>
      <c r="S130" s="1"/>
      <c r="T130" s="1"/>
      <c r="X130" s="1"/>
      <c r="Y130" s="1"/>
      <c r="Z130" s="1"/>
      <c r="AA130" s="1"/>
      <c r="AB130" s="1"/>
      <c r="AC130" s="1"/>
    </row>
    <row r="131" spans="2:29" x14ac:dyDescent="0.25">
      <c r="B131" s="4"/>
      <c r="C131" s="4"/>
      <c r="D131" s="4"/>
      <c r="F131" s="1"/>
      <c r="G131" s="1"/>
      <c r="H131" s="1"/>
      <c r="O131" s="1"/>
      <c r="P131" s="1"/>
      <c r="Q131" s="1"/>
      <c r="R131" s="1"/>
      <c r="S131" s="1"/>
      <c r="T131" s="1"/>
      <c r="X131" s="1"/>
      <c r="Y131" s="1"/>
      <c r="Z131" s="1"/>
      <c r="AA131" s="1"/>
      <c r="AB131" s="1"/>
      <c r="AC131" s="1"/>
    </row>
    <row r="132" spans="2:29" x14ac:dyDescent="0.25">
      <c r="B132" s="4"/>
      <c r="C132" s="4"/>
      <c r="D132" s="4"/>
      <c r="F132" s="1"/>
      <c r="G132" s="1"/>
      <c r="H132" s="1"/>
      <c r="O132" s="1"/>
      <c r="P132" s="1"/>
      <c r="Q132" s="1"/>
      <c r="R132" s="1"/>
      <c r="S132" s="1"/>
      <c r="T132" s="1"/>
      <c r="X132" s="1"/>
      <c r="Y132" s="1"/>
      <c r="Z132" s="1"/>
      <c r="AA132" s="1"/>
      <c r="AB132" s="1"/>
      <c r="AC132" s="1"/>
    </row>
    <row r="133" spans="2:29" x14ac:dyDescent="0.25">
      <c r="B133" s="4"/>
      <c r="C133" s="4"/>
      <c r="D133" s="4"/>
      <c r="F133" s="1"/>
      <c r="G133" s="1"/>
      <c r="H133" s="1"/>
      <c r="O133" s="1"/>
      <c r="P133" s="1"/>
      <c r="Q133" s="1"/>
      <c r="R133" s="1"/>
      <c r="S133" s="1"/>
      <c r="T133" s="1"/>
      <c r="X133" s="1"/>
      <c r="Y133" s="1"/>
      <c r="Z133" s="1"/>
      <c r="AA133" s="1"/>
      <c r="AB133" s="1"/>
      <c r="AC133" s="1"/>
    </row>
    <row r="134" spans="2:29" x14ac:dyDescent="0.25">
      <c r="B134" s="4"/>
      <c r="C134" s="4"/>
      <c r="D134" s="4"/>
      <c r="F134" s="1"/>
      <c r="G134" s="1"/>
      <c r="H134" s="1"/>
      <c r="O134" s="1"/>
      <c r="P134" s="1"/>
      <c r="Q134" s="1"/>
      <c r="R134" s="1"/>
      <c r="S134" s="1"/>
      <c r="T134" s="1"/>
      <c r="X134" s="1"/>
      <c r="Y134" s="1"/>
      <c r="Z134" s="1"/>
      <c r="AA134" s="1"/>
      <c r="AB134" s="1"/>
      <c r="AC134" s="1"/>
    </row>
    <row r="135" spans="2:29" x14ac:dyDescent="0.25">
      <c r="B135" s="4"/>
      <c r="C135" s="4"/>
      <c r="D135" s="4"/>
      <c r="F135" s="1"/>
      <c r="G135" s="1"/>
      <c r="H135" s="1"/>
      <c r="O135" s="1"/>
      <c r="P135" s="1"/>
      <c r="Q135" s="1"/>
      <c r="R135" s="1"/>
      <c r="S135" s="1"/>
      <c r="T135" s="1"/>
      <c r="X135" s="1"/>
      <c r="Y135" s="1"/>
      <c r="Z135" s="1"/>
      <c r="AA135" s="1"/>
      <c r="AB135" s="1"/>
      <c r="AC135" s="1"/>
    </row>
    <row r="136" spans="2:29" x14ac:dyDescent="0.25">
      <c r="B136" s="4"/>
      <c r="C136" s="4"/>
      <c r="D136" s="4"/>
      <c r="F136" s="1"/>
      <c r="G136" s="1"/>
      <c r="H136" s="1"/>
      <c r="O136" s="1"/>
      <c r="P136" s="1"/>
      <c r="Q136" s="1"/>
      <c r="R136" s="1"/>
      <c r="S136" s="1"/>
      <c r="T136" s="1"/>
      <c r="X136" s="1"/>
      <c r="Y136" s="1"/>
      <c r="Z136" s="1"/>
      <c r="AA136" s="1"/>
      <c r="AB136" s="1"/>
      <c r="AC136" s="1"/>
    </row>
    <row r="137" spans="2:29" x14ac:dyDescent="0.25">
      <c r="B137" s="4"/>
      <c r="C137" s="4"/>
      <c r="D137" s="4"/>
      <c r="F137" s="1"/>
      <c r="G137" s="1"/>
      <c r="H137" s="1"/>
      <c r="O137" s="1"/>
      <c r="P137" s="1"/>
      <c r="Q137" s="1"/>
      <c r="R137" s="1"/>
      <c r="S137" s="1"/>
      <c r="T137" s="1"/>
      <c r="X137" s="1"/>
      <c r="Y137" s="1"/>
      <c r="Z137" s="1"/>
      <c r="AA137" s="1"/>
      <c r="AB137" s="1"/>
      <c r="AC137" s="1"/>
    </row>
    <row r="138" spans="2:29" x14ac:dyDescent="0.25">
      <c r="B138" s="4"/>
      <c r="C138" s="4"/>
      <c r="D138" s="4"/>
      <c r="F138" s="1"/>
      <c r="G138" s="1"/>
      <c r="H138" s="1"/>
      <c r="O138" s="1"/>
      <c r="P138" s="1"/>
      <c r="Q138" s="1"/>
      <c r="R138" s="1"/>
      <c r="S138" s="1"/>
      <c r="T138" s="1"/>
      <c r="X138" s="1"/>
      <c r="Y138" s="1"/>
      <c r="Z138" s="1"/>
      <c r="AA138" s="1"/>
      <c r="AB138" s="1"/>
      <c r="AC138" s="1"/>
    </row>
    <row r="139" spans="2:29" x14ac:dyDescent="0.25">
      <c r="B139" s="4"/>
      <c r="C139" s="4"/>
      <c r="D139" s="4"/>
      <c r="F139" s="1"/>
      <c r="G139" s="1"/>
      <c r="H139" s="1"/>
      <c r="O139" s="1"/>
      <c r="P139" s="1"/>
      <c r="Q139" s="1"/>
      <c r="R139" s="1"/>
      <c r="S139" s="1"/>
      <c r="T139" s="1"/>
      <c r="X139" s="1"/>
      <c r="Y139" s="1"/>
      <c r="Z139" s="1"/>
      <c r="AA139" s="1"/>
      <c r="AB139" s="1"/>
      <c r="AC139" s="1"/>
    </row>
    <row r="140" spans="2:29" x14ac:dyDescent="0.25">
      <c r="B140" s="4"/>
      <c r="C140" s="4"/>
      <c r="D140" s="4"/>
      <c r="F140" s="1"/>
      <c r="G140" s="1"/>
      <c r="H140" s="1"/>
      <c r="O140" s="1"/>
      <c r="P140" s="1"/>
      <c r="Q140" s="1"/>
      <c r="R140" s="1"/>
      <c r="S140" s="1"/>
      <c r="T140" s="1"/>
      <c r="X140" s="1"/>
      <c r="Y140" s="1"/>
      <c r="Z140" s="1"/>
      <c r="AA140" s="1"/>
      <c r="AB140" s="1"/>
      <c r="AC140" s="1"/>
    </row>
    <row r="141" spans="2:29" x14ac:dyDescent="0.25">
      <c r="B141" s="4"/>
      <c r="C141" s="4"/>
      <c r="D141" s="4"/>
      <c r="F141" s="1"/>
      <c r="G141" s="1"/>
      <c r="H141" s="1"/>
      <c r="O141" s="1"/>
      <c r="P141" s="1"/>
      <c r="Q141" s="1"/>
      <c r="R141" s="1"/>
      <c r="S141" s="1"/>
      <c r="T141" s="1"/>
      <c r="X141" s="1"/>
      <c r="Y141" s="1"/>
      <c r="Z141" s="1"/>
      <c r="AA141" s="1"/>
      <c r="AB141" s="1"/>
      <c r="AC141" s="1"/>
    </row>
    <row r="142" spans="2:29" x14ac:dyDescent="0.25">
      <c r="B142" s="4"/>
      <c r="C142" s="4"/>
      <c r="D142" s="4"/>
      <c r="F142" s="1"/>
      <c r="G142" s="1"/>
      <c r="H142" s="1"/>
      <c r="O142" s="1"/>
      <c r="P142" s="1"/>
      <c r="Q142" s="1"/>
      <c r="R142" s="1"/>
      <c r="S142" s="1"/>
      <c r="T142" s="1"/>
      <c r="X142" s="1"/>
      <c r="Y142" s="1"/>
      <c r="Z142" s="1"/>
      <c r="AA142" s="1"/>
      <c r="AB142" s="1"/>
      <c r="AC142" s="1"/>
    </row>
    <row r="143" spans="2:29" x14ac:dyDescent="0.25">
      <c r="B143" s="4"/>
      <c r="C143" s="4"/>
      <c r="D143" s="4"/>
      <c r="F143" s="1"/>
      <c r="G143" s="1"/>
      <c r="H143" s="1"/>
      <c r="O143" s="1"/>
      <c r="P143" s="1"/>
      <c r="Q143" s="1"/>
      <c r="R143" s="1"/>
      <c r="S143" s="1"/>
      <c r="T143" s="1"/>
      <c r="X143" s="1"/>
      <c r="Y143" s="1"/>
      <c r="Z143" s="1"/>
      <c r="AA143" s="1"/>
      <c r="AB143" s="1"/>
      <c r="AC143" s="1"/>
    </row>
    <row r="144" spans="2:29" x14ac:dyDescent="0.25">
      <c r="B144" s="4"/>
      <c r="C144" s="4"/>
      <c r="D144" s="4"/>
      <c r="F144" s="1"/>
      <c r="G144" s="1"/>
      <c r="H144" s="1"/>
      <c r="O144" s="1"/>
      <c r="P144" s="1"/>
      <c r="Q144" s="1"/>
      <c r="R144" s="1"/>
      <c r="S144" s="1"/>
      <c r="T144" s="1"/>
      <c r="X144" s="1"/>
      <c r="Y144" s="1"/>
      <c r="Z144" s="1"/>
      <c r="AA144" s="1"/>
      <c r="AB144" s="1"/>
      <c r="AC144" s="1"/>
    </row>
    <row r="145" spans="2:29" x14ac:dyDescent="0.25">
      <c r="B145" s="4"/>
      <c r="C145" s="4"/>
      <c r="D145" s="4"/>
      <c r="F145" s="1"/>
      <c r="G145" s="1"/>
      <c r="H145" s="1"/>
      <c r="O145" s="1"/>
      <c r="P145" s="1"/>
      <c r="Q145" s="1"/>
      <c r="R145" s="1"/>
      <c r="S145" s="1"/>
      <c r="T145" s="1"/>
      <c r="X145" s="1"/>
      <c r="Y145" s="1"/>
      <c r="Z145" s="1"/>
      <c r="AA145" s="1"/>
      <c r="AB145" s="1"/>
      <c r="AC145" s="1"/>
    </row>
    <row r="146" spans="2:29" x14ac:dyDescent="0.25">
      <c r="B146" s="4"/>
      <c r="C146" s="4"/>
      <c r="D146" s="4"/>
      <c r="F146" s="1"/>
      <c r="G146" s="1"/>
      <c r="H146" s="1"/>
      <c r="O146" s="1"/>
      <c r="P146" s="1"/>
      <c r="Q146" s="1"/>
      <c r="R146" s="1"/>
      <c r="S146" s="1"/>
      <c r="T146" s="1"/>
      <c r="X146" s="1"/>
      <c r="Y146" s="1"/>
      <c r="Z146" s="1"/>
      <c r="AA146" s="1"/>
      <c r="AB146" s="1"/>
      <c r="AC146" s="1"/>
    </row>
    <row r="147" spans="2:29" x14ac:dyDescent="0.25">
      <c r="B147" s="4"/>
      <c r="C147" s="4"/>
      <c r="D147" s="4"/>
      <c r="F147" s="1"/>
      <c r="G147" s="1"/>
      <c r="H147" s="1"/>
      <c r="O147" s="1"/>
      <c r="P147" s="1"/>
      <c r="Q147" s="1"/>
      <c r="R147" s="1"/>
      <c r="S147" s="1"/>
      <c r="T147" s="1"/>
      <c r="X147" s="1"/>
      <c r="Y147" s="1"/>
      <c r="Z147" s="1"/>
      <c r="AA147" s="1"/>
      <c r="AB147" s="1"/>
      <c r="AC147" s="1"/>
    </row>
    <row r="148" spans="2:29" x14ac:dyDescent="0.25">
      <c r="B148" s="4"/>
      <c r="C148" s="4"/>
      <c r="D148" s="4"/>
      <c r="F148" s="1"/>
      <c r="G148" s="1"/>
      <c r="H148" s="1"/>
      <c r="O148" s="1"/>
      <c r="P148" s="1"/>
      <c r="Q148" s="1"/>
      <c r="R148" s="1"/>
      <c r="S148" s="1"/>
      <c r="T148" s="1"/>
      <c r="X148" s="1"/>
      <c r="Y148" s="1"/>
      <c r="Z148" s="1"/>
      <c r="AA148" s="1"/>
      <c r="AB148" s="1"/>
      <c r="AC148" s="1"/>
    </row>
    <row r="149" spans="2:29" x14ac:dyDescent="0.25">
      <c r="B149" s="4"/>
      <c r="C149" s="4"/>
      <c r="D149" s="4"/>
      <c r="F149" s="1"/>
      <c r="G149" s="1"/>
      <c r="H149" s="1"/>
      <c r="O149" s="1"/>
      <c r="P149" s="1"/>
      <c r="Q149" s="1"/>
      <c r="R149" s="1"/>
      <c r="S149" s="1"/>
      <c r="T149" s="1"/>
      <c r="X149" s="1"/>
      <c r="Y149" s="1"/>
      <c r="Z149" s="1"/>
      <c r="AA149" s="1"/>
      <c r="AB149" s="1"/>
      <c r="AC149" s="1"/>
    </row>
    <row r="150" spans="2:29" x14ac:dyDescent="0.25">
      <c r="B150" s="4"/>
      <c r="C150" s="4"/>
      <c r="D150" s="4"/>
      <c r="F150" s="1"/>
      <c r="G150" s="1"/>
      <c r="H150" s="1"/>
      <c r="O150" s="1"/>
      <c r="P150" s="1"/>
      <c r="Q150" s="1"/>
      <c r="R150" s="1"/>
      <c r="S150" s="1"/>
      <c r="T150" s="1"/>
      <c r="X150" s="1"/>
      <c r="Y150" s="1"/>
      <c r="Z150" s="1"/>
      <c r="AA150" s="1"/>
      <c r="AB150" s="1"/>
      <c r="AC150" s="1"/>
    </row>
    <row r="151" spans="2:29" x14ac:dyDescent="0.25">
      <c r="B151" s="4"/>
      <c r="C151" s="4"/>
      <c r="D151" s="4"/>
      <c r="F151" s="1"/>
      <c r="G151" s="1"/>
      <c r="H151" s="1"/>
      <c r="O151" s="1"/>
      <c r="P151" s="1"/>
      <c r="Q151" s="1"/>
      <c r="R151" s="1"/>
      <c r="S151" s="1"/>
      <c r="T151" s="1"/>
      <c r="X151" s="1"/>
      <c r="Y151" s="1"/>
      <c r="Z151" s="1"/>
      <c r="AA151" s="1"/>
      <c r="AB151" s="1"/>
      <c r="AC151" s="1"/>
    </row>
    <row r="152" spans="2:29" x14ac:dyDescent="0.25">
      <c r="B152" s="4"/>
      <c r="C152" s="4"/>
      <c r="D152" s="4"/>
      <c r="F152" s="1"/>
      <c r="G152" s="1"/>
      <c r="H152" s="1"/>
      <c r="O152" s="1"/>
      <c r="P152" s="1"/>
      <c r="Q152" s="1"/>
      <c r="R152" s="1"/>
      <c r="S152" s="1"/>
      <c r="T152" s="1"/>
      <c r="X152" s="1"/>
      <c r="Y152" s="1"/>
      <c r="Z152" s="1"/>
      <c r="AA152" s="1"/>
      <c r="AB152" s="1"/>
      <c r="AC152" s="1"/>
    </row>
    <row r="153" spans="2:29" x14ac:dyDescent="0.25">
      <c r="B153" s="4"/>
      <c r="C153" s="4"/>
      <c r="D153" s="4"/>
      <c r="F153" s="1"/>
      <c r="G153" s="1"/>
      <c r="H153" s="1"/>
      <c r="O153" s="1"/>
      <c r="P153" s="1"/>
      <c r="Q153" s="1"/>
      <c r="R153" s="1"/>
      <c r="S153" s="1"/>
      <c r="T153" s="1"/>
      <c r="X153" s="1"/>
      <c r="Y153" s="1"/>
      <c r="Z153" s="1"/>
      <c r="AA153" s="1"/>
      <c r="AB153" s="1"/>
      <c r="AC153" s="1"/>
    </row>
    <row r="154" spans="2:29" x14ac:dyDescent="0.25">
      <c r="B154" s="4"/>
      <c r="C154" s="4"/>
      <c r="D154" s="4"/>
      <c r="F154" s="1"/>
      <c r="G154" s="1"/>
      <c r="H154" s="1"/>
      <c r="O154" s="1"/>
      <c r="P154" s="1"/>
      <c r="Q154" s="1"/>
      <c r="R154" s="1"/>
      <c r="S154" s="1"/>
      <c r="T154" s="1"/>
      <c r="X154" s="1"/>
      <c r="Y154" s="1"/>
      <c r="Z154" s="1"/>
      <c r="AA154" s="1"/>
      <c r="AB154" s="1"/>
      <c r="AC154" s="1"/>
    </row>
    <row r="155" spans="2:29" x14ac:dyDescent="0.25">
      <c r="B155" s="4"/>
      <c r="C155" s="4"/>
      <c r="D155" s="4"/>
      <c r="F155" s="1"/>
      <c r="G155" s="1"/>
      <c r="H155" s="1"/>
      <c r="O155" s="1"/>
      <c r="P155" s="1"/>
      <c r="Q155" s="1"/>
      <c r="R155" s="1"/>
      <c r="S155" s="1"/>
      <c r="T155" s="1"/>
      <c r="X155" s="1"/>
      <c r="Y155" s="1"/>
      <c r="Z155" s="1"/>
      <c r="AA155" s="1"/>
      <c r="AB155" s="1"/>
      <c r="AC155" s="1"/>
    </row>
    <row r="156" spans="2:29" x14ac:dyDescent="0.25">
      <c r="B156" s="4"/>
      <c r="C156" s="4"/>
      <c r="D156" s="4"/>
      <c r="F156" s="1"/>
      <c r="G156" s="1"/>
      <c r="H156" s="1"/>
      <c r="O156" s="1"/>
      <c r="P156" s="1"/>
      <c r="Q156" s="1"/>
      <c r="R156" s="1"/>
      <c r="S156" s="1"/>
      <c r="T156" s="1"/>
      <c r="X156" s="1"/>
      <c r="Y156" s="1"/>
      <c r="Z156" s="1"/>
      <c r="AA156" s="1"/>
      <c r="AB156" s="1"/>
      <c r="AC156" s="1"/>
    </row>
    <row r="157" spans="2:29" x14ac:dyDescent="0.25">
      <c r="B157" s="4"/>
      <c r="C157" s="4"/>
      <c r="D157" s="4"/>
      <c r="F157" s="1"/>
      <c r="G157" s="1"/>
      <c r="H157" s="1"/>
      <c r="O157" s="1"/>
      <c r="P157" s="1"/>
      <c r="Q157" s="1"/>
      <c r="R157" s="1"/>
      <c r="S157" s="1"/>
      <c r="T157" s="1"/>
      <c r="X157" s="1"/>
      <c r="Y157" s="1"/>
      <c r="Z157" s="1"/>
      <c r="AA157" s="1"/>
      <c r="AB157" s="1"/>
      <c r="AC157" s="1"/>
    </row>
    <row r="158" spans="2:29" x14ac:dyDescent="0.25">
      <c r="B158" s="4"/>
      <c r="C158" s="4"/>
      <c r="D158" s="4"/>
      <c r="F158" s="1"/>
      <c r="G158" s="1"/>
      <c r="H158" s="1"/>
      <c r="O158" s="1"/>
      <c r="P158" s="1"/>
      <c r="Q158" s="1"/>
      <c r="R158" s="1"/>
      <c r="S158" s="1"/>
      <c r="T158" s="1"/>
      <c r="X158" s="1"/>
      <c r="Y158" s="1"/>
      <c r="Z158" s="1"/>
      <c r="AA158" s="1"/>
      <c r="AB158" s="1"/>
      <c r="AC158" s="1"/>
    </row>
    <row r="159" spans="2:29" x14ac:dyDescent="0.25">
      <c r="B159" s="4"/>
      <c r="C159" s="4"/>
      <c r="D159" s="4"/>
      <c r="F159" s="1"/>
      <c r="G159" s="1"/>
      <c r="H159" s="1"/>
      <c r="O159" s="1"/>
      <c r="P159" s="1"/>
      <c r="Q159" s="1"/>
      <c r="R159" s="1"/>
      <c r="S159" s="1"/>
      <c r="T159" s="1"/>
      <c r="X159" s="1"/>
      <c r="Y159" s="1"/>
      <c r="Z159" s="1"/>
      <c r="AA159" s="1"/>
      <c r="AB159" s="1"/>
      <c r="AC159" s="1"/>
    </row>
    <row r="160" spans="2:29" x14ac:dyDescent="0.25">
      <c r="B160" s="4"/>
      <c r="C160" s="4"/>
      <c r="D160" s="4"/>
      <c r="F160" s="1"/>
      <c r="G160" s="1"/>
      <c r="H160" s="1"/>
      <c r="O160" s="1"/>
      <c r="P160" s="1"/>
      <c r="Q160" s="1"/>
      <c r="R160" s="1"/>
      <c r="S160" s="1"/>
      <c r="T160" s="1"/>
      <c r="X160" s="1"/>
      <c r="Y160" s="1"/>
      <c r="Z160" s="1"/>
      <c r="AA160" s="1"/>
      <c r="AB160" s="1"/>
      <c r="AC160" s="1"/>
    </row>
    <row r="161" spans="2:29" x14ac:dyDescent="0.25">
      <c r="B161" s="4"/>
      <c r="C161" s="4"/>
      <c r="D161" s="4"/>
      <c r="F161" s="1"/>
      <c r="G161" s="1"/>
      <c r="H161" s="1"/>
      <c r="O161" s="1"/>
      <c r="P161" s="1"/>
      <c r="Q161" s="1"/>
      <c r="R161" s="1"/>
      <c r="S161" s="1"/>
      <c r="T161" s="1"/>
      <c r="X161" s="1"/>
      <c r="Y161" s="1"/>
      <c r="Z161" s="1"/>
      <c r="AA161" s="1"/>
      <c r="AB161" s="1"/>
      <c r="AC161" s="1"/>
    </row>
    <row r="162" spans="2:29" x14ac:dyDescent="0.25">
      <c r="B162" s="4"/>
      <c r="C162" s="4"/>
      <c r="D162" s="4"/>
      <c r="F162" s="1"/>
      <c r="G162" s="1"/>
      <c r="H162" s="1"/>
      <c r="O162" s="1"/>
      <c r="P162" s="1"/>
      <c r="Q162" s="1"/>
      <c r="R162" s="1"/>
      <c r="S162" s="1"/>
      <c r="T162" s="1"/>
      <c r="X162" s="1"/>
      <c r="Y162" s="1"/>
      <c r="Z162" s="1"/>
      <c r="AA162" s="1"/>
      <c r="AB162" s="1"/>
      <c r="AC162" s="1"/>
    </row>
    <row r="163" spans="2:29" x14ac:dyDescent="0.25">
      <c r="B163" s="4"/>
      <c r="C163" s="4"/>
      <c r="D163" s="4"/>
      <c r="F163" s="1"/>
      <c r="G163" s="1"/>
      <c r="H163" s="1"/>
      <c r="O163" s="1"/>
      <c r="P163" s="1"/>
      <c r="Q163" s="1"/>
      <c r="R163" s="1"/>
      <c r="S163" s="1"/>
      <c r="T163" s="1"/>
      <c r="X163" s="1"/>
      <c r="Y163" s="1"/>
      <c r="Z163" s="1"/>
      <c r="AA163" s="1"/>
      <c r="AB163" s="1"/>
      <c r="AC163" s="1"/>
    </row>
    <row r="164" spans="2:29" x14ac:dyDescent="0.25">
      <c r="B164" s="4"/>
      <c r="C164" s="4"/>
      <c r="D164" s="4"/>
      <c r="F164" s="1"/>
      <c r="G164" s="1"/>
      <c r="H164" s="1"/>
      <c r="O164" s="1"/>
      <c r="P164" s="1"/>
      <c r="Q164" s="1"/>
      <c r="R164" s="1"/>
      <c r="S164" s="1"/>
      <c r="T164" s="1"/>
      <c r="X164" s="1"/>
      <c r="Y164" s="1"/>
      <c r="Z164" s="1"/>
      <c r="AA164" s="1"/>
      <c r="AB164" s="1"/>
      <c r="AC164" s="1"/>
    </row>
    <row r="165" spans="2:29" x14ac:dyDescent="0.25">
      <c r="B165" s="4"/>
      <c r="C165" s="4"/>
      <c r="D165" s="4"/>
      <c r="F165" s="1"/>
      <c r="G165" s="1"/>
      <c r="H165" s="1"/>
      <c r="O165" s="1"/>
      <c r="P165" s="1"/>
      <c r="Q165" s="1"/>
      <c r="R165" s="1"/>
      <c r="S165" s="1"/>
      <c r="T165" s="1"/>
      <c r="X165" s="1"/>
      <c r="Y165" s="1"/>
      <c r="Z165" s="1"/>
      <c r="AA165" s="1"/>
      <c r="AB165" s="1"/>
      <c r="AC165" s="1"/>
    </row>
    <row r="166" spans="2:29" x14ac:dyDescent="0.25">
      <c r="B166" s="4"/>
      <c r="C166" s="4"/>
      <c r="D166" s="4"/>
      <c r="F166" s="1"/>
      <c r="G166" s="1"/>
      <c r="H166" s="1"/>
      <c r="O166" s="1"/>
      <c r="P166" s="1"/>
      <c r="Q166" s="1"/>
      <c r="R166" s="1"/>
      <c r="S166" s="1"/>
      <c r="T166" s="1"/>
      <c r="X166" s="1"/>
      <c r="Y166" s="1"/>
      <c r="Z166" s="1"/>
      <c r="AA166" s="1"/>
      <c r="AB166" s="1"/>
      <c r="AC166" s="1"/>
    </row>
    <row r="167" spans="2:29" x14ac:dyDescent="0.25">
      <c r="B167" s="4"/>
      <c r="C167" s="4"/>
      <c r="D167" s="4"/>
      <c r="F167" s="1"/>
      <c r="G167" s="1"/>
      <c r="H167" s="1"/>
      <c r="O167" s="1"/>
      <c r="P167" s="1"/>
      <c r="Q167" s="1"/>
      <c r="R167" s="1"/>
      <c r="S167" s="1"/>
      <c r="T167" s="1"/>
      <c r="X167" s="1"/>
      <c r="Y167" s="1"/>
      <c r="Z167" s="1"/>
      <c r="AA167" s="1"/>
      <c r="AB167" s="1"/>
      <c r="AC167" s="1"/>
    </row>
    <row r="168" spans="2:29" x14ac:dyDescent="0.25">
      <c r="B168" s="4"/>
      <c r="C168" s="4"/>
      <c r="D168" s="4"/>
      <c r="F168" s="1"/>
      <c r="G168" s="1"/>
      <c r="H168" s="1"/>
      <c r="O168" s="1"/>
      <c r="P168" s="1"/>
      <c r="Q168" s="1"/>
      <c r="R168" s="1"/>
      <c r="S168" s="1"/>
      <c r="T168" s="1"/>
      <c r="X168" s="1"/>
      <c r="Y168" s="1"/>
      <c r="Z168" s="1"/>
      <c r="AA168" s="1"/>
      <c r="AB168" s="1"/>
      <c r="AC168" s="1"/>
    </row>
    <row r="169" spans="2:29" x14ac:dyDescent="0.25">
      <c r="B169" s="4"/>
      <c r="C169" s="4"/>
      <c r="D169" s="4"/>
      <c r="F169" s="1"/>
      <c r="G169" s="1"/>
      <c r="H169" s="1"/>
      <c r="O169" s="1"/>
      <c r="P169" s="1"/>
      <c r="Q169" s="1"/>
      <c r="R169" s="1"/>
      <c r="S169" s="1"/>
      <c r="T169" s="1"/>
      <c r="X169" s="1"/>
      <c r="Y169" s="1"/>
      <c r="Z169" s="1"/>
      <c r="AA169" s="1"/>
      <c r="AB169" s="1"/>
      <c r="AC169" s="1"/>
    </row>
    <row r="170" spans="2:29" x14ac:dyDescent="0.25">
      <c r="B170" s="4"/>
      <c r="C170" s="4"/>
      <c r="D170" s="4"/>
      <c r="F170" s="1"/>
      <c r="G170" s="1"/>
      <c r="H170" s="1"/>
      <c r="O170" s="1"/>
      <c r="P170" s="1"/>
      <c r="Q170" s="1"/>
      <c r="R170" s="1"/>
      <c r="S170" s="1"/>
      <c r="T170" s="1"/>
      <c r="X170" s="1"/>
      <c r="Y170" s="1"/>
      <c r="Z170" s="1"/>
      <c r="AA170" s="1"/>
      <c r="AB170" s="1"/>
      <c r="AC170" s="1"/>
    </row>
    <row r="171" spans="2:29" x14ac:dyDescent="0.25">
      <c r="B171" s="4"/>
      <c r="C171" s="4"/>
      <c r="D171" s="4"/>
      <c r="F171" s="1"/>
      <c r="G171" s="1"/>
      <c r="H171" s="1"/>
      <c r="O171" s="1"/>
      <c r="P171" s="1"/>
      <c r="Q171" s="1"/>
      <c r="R171" s="1"/>
      <c r="S171" s="1"/>
      <c r="T171" s="1"/>
      <c r="X171" s="1"/>
      <c r="Y171" s="1"/>
      <c r="Z171" s="1"/>
      <c r="AA171" s="1"/>
      <c r="AB171" s="1"/>
      <c r="AC171" s="1"/>
    </row>
    <row r="172" spans="2:29" x14ac:dyDescent="0.25">
      <c r="B172" s="4"/>
      <c r="C172" s="4"/>
      <c r="D172" s="4"/>
      <c r="F172" s="1"/>
      <c r="G172" s="1"/>
      <c r="H172" s="1"/>
      <c r="O172" s="1"/>
      <c r="P172" s="1"/>
      <c r="Q172" s="1"/>
      <c r="R172" s="1"/>
      <c r="S172" s="1"/>
      <c r="T172" s="1"/>
      <c r="X172" s="1"/>
      <c r="Y172" s="1"/>
      <c r="Z172" s="1"/>
      <c r="AA172" s="1"/>
      <c r="AB172" s="1"/>
      <c r="AC172" s="1"/>
    </row>
    <row r="173" spans="2:29" x14ac:dyDescent="0.25">
      <c r="B173" s="4"/>
      <c r="C173" s="4"/>
      <c r="D173" s="4"/>
      <c r="F173" s="1"/>
      <c r="G173" s="1"/>
      <c r="H173" s="1"/>
      <c r="O173" s="1"/>
      <c r="P173" s="1"/>
      <c r="Q173" s="1"/>
      <c r="R173" s="1"/>
      <c r="S173" s="1"/>
      <c r="T173" s="1"/>
      <c r="X173" s="1"/>
      <c r="Y173" s="1"/>
      <c r="Z173" s="1"/>
      <c r="AA173" s="1"/>
      <c r="AB173" s="1"/>
      <c r="AC173" s="1"/>
    </row>
    <row r="174" spans="2:29" x14ac:dyDescent="0.25">
      <c r="B174" s="4"/>
      <c r="C174" s="4"/>
      <c r="D174" s="4"/>
      <c r="F174" s="1"/>
      <c r="G174" s="1"/>
      <c r="H174" s="1"/>
      <c r="O174" s="1"/>
      <c r="P174" s="1"/>
      <c r="Q174" s="1"/>
      <c r="R174" s="1"/>
      <c r="S174" s="1"/>
      <c r="T174" s="1"/>
      <c r="X174" s="1"/>
      <c r="Y174" s="1"/>
      <c r="Z174" s="1"/>
      <c r="AA174" s="1"/>
      <c r="AB174" s="1"/>
      <c r="AC174" s="1"/>
    </row>
    <row r="175" spans="2:29" x14ac:dyDescent="0.25">
      <c r="B175" s="4"/>
      <c r="C175" s="4"/>
      <c r="D175" s="4"/>
      <c r="F175" s="1"/>
      <c r="G175" s="1"/>
      <c r="H175" s="1"/>
      <c r="O175" s="1"/>
      <c r="P175" s="1"/>
      <c r="Q175" s="1"/>
      <c r="R175" s="1"/>
      <c r="S175" s="1"/>
      <c r="T175" s="1"/>
      <c r="X175" s="1"/>
      <c r="Y175" s="1"/>
      <c r="Z175" s="1"/>
      <c r="AA175" s="1"/>
      <c r="AB175" s="1"/>
      <c r="AC175" s="1"/>
    </row>
    <row r="176" spans="2:29" x14ac:dyDescent="0.25">
      <c r="B176" s="4"/>
      <c r="C176" s="4"/>
      <c r="D176" s="4"/>
      <c r="F176" s="1"/>
      <c r="G176" s="1"/>
      <c r="H176" s="1"/>
      <c r="O176" s="1"/>
      <c r="P176" s="1"/>
      <c r="Q176" s="1"/>
      <c r="R176" s="1"/>
      <c r="S176" s="1"/>
      <c r="T176" s="1"/>
      <c r="X176" s="1"/>
      <c r="Y176" s="1"/>
      <c r="Z176" s="1"/>
      <c r="AA176" s="1"/>
      <c r="AB176" s="1"/>
      <c r="AC176" s="1"/>
    </row>
    <row r="177" spans="2:29" x14ac:dyDescent="0.25">
      <c r="B177" s="4"/>
      <c r="C177" s="4"/>
      <c r="D177" s="4"/>
      <c r="F177" s="1"/>
      <c r="G177" s="1"/>
      <c r="H177" s="1"/>
      <c r="O177" s="1"/>
      <c r="P177" s="1"/>
      <c r="Q177" s="1"/>
      <c r="R177" s="1"/>
      <c r="S177" s="1"/>
      <c r="T177" s="1"/>
      <c r="X177" s="1"/>
      <c r="Y177" s="1"/>
      <c r="Z177" s="1"/>
      <c r="AA177" s="1"/>
      <c r="AB177" s="1"/>
      <c r="AC177" s="1"/>
    </row>
    <row r="178" spans="2:29" x14ac:dyDescent="0.25">
      <c r="B178" s="4"/>
      <c r="C178" s="4"/>
      <c r="D178" s="4"/>
      <c r="F178" s="1"/>
      <c r="G178" s="1"/>
      <c r="H178" s="1"/>
      <c r="O178" s="1"/>
      <c r="P178" s="1"/>
      <c r="Q178" s="1"/>
      <c r="R178" s="1"/>
      <c r="S178" s="1"/>
      <c r="T178" s="1"/>
      <c r="X178" s="1"/>
      <c r="Y178" s="1"/>
      <c r="Z178" s="1"/>
      <c r="AA178" s="1"/>
      <c r="AB178" s="1"/>
      <c r="AC178" s="1"/>
    </row>
    <row r="179" spans="2:29" x14ac:dyDescent="0.25">
      <c r="B179" s="4"/>
      <c r="C179" s="4"/>
      <c r="D179" s="4"/>
      <c r="F179" s="1"/>
      <c r="G179" s="1"/>
      <c r="H179" s="1"/>
      <c r="O179" s="1"/>
      <c r="P179" s="1"/>
      <c r="Q179" s="1"/>
      <c r="R179" s="1"/>
      <c r="S179" s="1"/>
      <c r="T179" s="1"/>
      <c r="X179" s="1"/>
      <c r="Y179" s="1"/>
      <c r="Z179" s="1"/>
      <c r="AA179" s="1"/>
      <c r="AB179" s="1"/>
      <c r="AC179" s="1"/>
    </row>
    <row r="180" spans="2:29" x14ac:dyDescent="0.25">
      <c r="B180" s="4"/>
      <c r="C180" s="4"/>
      <c r="D180" s="4"/>
      <c r="F180" s="1"/>
      <c r="G180" s="1"/>
      <c r="H180" s="1"/>
      <c r="O180" s="1"/>
      <c r="P180" s="1"/>
      <c r="Q180" s="1"/>
      <c r="R180" s="1"/>
      <c r="S180" s="1"/>
      <c r="T180" s="1"/>
      <c r="X180" s="1"/>
      <c r="Y180" s="1"/>
      <c r="Z180" s="1"/>
      <c r="AA180" s="1"/>
      <c r="AB180" s="1"/>
      <c r="AC180" s="1"/>
    </row>
    <row r="181" spans="2:29" x14ac:dyDescent="0.25">
      <c r="B181" s="4"/>
      <c r="C181" s="4"/>
      <c r="D181" s="4"/>
      <c r="F181" s="1"/>
      <c r="G181" s="1"/>
      <c r="H181" s="1"/>
      <c r="O181" s="1"/>
      <c r="P181" s="1"/>
      <c r="Q181" s="1"/>
      <c r="R181" s="1"/>
      <c r="S181" s="1"/>
      <c r="T181" s="1"/>
      <c r="X181" s="1"/>
      <c r="Y181" s="1"/>
      <c r="Z181" s="1"/>
      <c r="AA181" s="1"/>
      <c r="AB181" s="1"/>
      <c r="AC181" s="1"/>
    </row>
    <row r="182" spans="2:29" x14ac:dyDescent="0.25">
      <c r="B182" s="4"/>
      <c r="C182" s="4"/>
      <c r="D182" s="4"/>
      <c r="F182" s="1"/>
      <c r="G182" s="1"/>
      <c r="H182" s="1"/>
      <c r="O182" s="1"/>
      <c r="P182" s="1"/>
      <c r="Q182" s="1"/>
      <c r="R182" s="1"/>
      <c r="S182" s="1"/>
      <c r="T182" s="1"/>
      <c r="X182" s="1"/>
      <c r="Y182" s="1"/>
      <c r="Z182" s="1"/>
      <c r="AA182" s="1"/>
      <c r="AB182" s="1"/>
      <c r="AC182" s="1"/>
    </row>
    <row r="183" spans="2:29" x14ac:dyDescent="0.25">
      <c r="B183" s="4"/>
      <c r="C183" s="4"/>
      <c r="D183" s="4"/>
      <c r="F183" s="1"/>
      <c r="G183" s="1"/>
      <c r="H183" s="1"/>
      <c r="O183" s="1"/>
      <c r="P183" s="1"/>
      <c r="Q183" s="1"/>
      <c r="R183" s="1"/>
      <c r="S183" s="1"/>
      <c r="T183" s="1"/>
      <c r="X183" s="1"/>
      <c r="Y183" s="1"/>
      <c r="Z183" s="1"/>
      <c r="AA183" s="1"/>
      <c r="AB183" s="1"/>
      <c r="AC183" s="1"/>
    </row>
    <row r="184" spans="2:29" x14ac:dyDescent="0.25">
      <c r="B184" s="4"/>
      <c r="C184" s="4"/>
      <c r="D184" s="4"/>
      <c r="F184" s="1"/>
      <c r="G184" s="1"/>
      <c r="H184" s="1"/>
      <c r="O184" s="1"/>
      <c r="P184" s="1"/>
      <c r="Q184" s="1"/>
      <c r="R184" s="1"/>
      <c r="S184" s="1"/>
      <c r="T184" s="1"/>
      <c r="X184" s="1"/>
      <c r="Y184" s="1"/>
      <c r="Z184" s="1"/>
      <c r="AA184" s="1"/>
      <c r="AB184" s="1"/>
      <c r="AC184" s="1"/>
    </row>
    <row r="185" spans="2:29" x14ac:dyDescent="0.25">
      <c r="B185" s="4"/>
      <c r="C185" s="4"/>
      <c r="D185" s="4"/>
      <c r="F185" s="1"/>
      <c r="G185" s="1"/>
      <c r="H185" s="1"/>
      <c r="O185" s="1"/>
      <c r="P185" s="1"/>
      <c r="Q185" s="1"/>
      <c r="R185" s="1"/>
      <c r="S185" s="1"/>
      <c r="T185" s="1"/>
      <c r="X185" s="1"/>
      <c r="Y185" s="1"/>
      <c r="Z185" s="1"/>
      <c r="AA185" s="1"/>
      <c r="AB185" s="1"/>
      <c r="AC185" s="1"/>
    </row>
    <row r="186" spans="2:29" x14ac:dyDescent="0.25">
      <c r="B186" s="4"/>
      <c r="C186" s="4"/>
      <c r="D186" s="4"/>
      <c r="F186" s="1"/>
      <c r="G186" s="1"/>
      <c r="H186" s="1"/>
      <c r="O186" s="1"/>
      <c r="P186" s="1"/>
      <c r="Q186" s="1"/>
      <c r="R186" s="1"/>
      <c r="S186" s="1"/>
      <c r="T186" s="1"/>
      <c r="X186" s="1"/>
      <c r="Y186" s="1"/>
      <c r="Z186" s="1"/>
      <c r="AA186" s="1"/>
      <c r="AB186" s="1"/>
      <c r="AC186" s="1"/>
    </row>
    <row r="187" spans="2:29" x14ac:dyDescent="0.25">
      <c r="B187" s="4"/>
      <c r="C187" s="4"/>
      <c r="D187" s="4"/>
      <c r="F187" s="1"/>
      <c r="G187" s="1"/>
      <c r="H187" s="1"/>
      <c r="O187" s="1"/>
      <c r="P187" s="1"/>
      <c r="Q187" s="1"/>
      <c r="R187" s="1"/>
      <c r="S187" s="1"/>
      <c r="T187" s="1"/>
      <c r="X187" s="1"/>
      <c r="Y187" s="1"/>
      <c r="Z187" s="1"/>
      <c r="AA187" s="1"/>
      <c r="AB187" s="1"/>
      <c r="AC187" s="1"/>
    </row>
    <row r="188" spans="2:29" x14ac:dyDescent="0.25">
      <c r="B188" s="4"/>
      <c r="C188" s="4"/>
      <c r="D188" s="4"/>
      <c r="F188" s="1"/>
      <c r="G188" s="1"/>
      <c r="H188" s="1"/>
      <c r="O188" s="1"/>
      <c r="P188" s="1"/>
      <c r="Q188" s="1"/>
      <c r="R188" s="1"/>
      <c r="S188" s="1"/>
      <c r="T188" s="1"/>
      <c r="X188" s="1"/>
      <c r="Y188" s="1"/>
      <c r="Z188" s="1"/>
      <c r="AA188" s="1"/>
      <c r="AB188" s="1"/>
      <c r="AC188" s="1"/>
    </row>
    <row r="189" spans="2:29" x14ac:dyDescent="0.25">
      <c r="B189" s="4"/>
      <c r="C189" s="4"/>
      <c r="D189" s="4"/>
      <c r="F189" s="1"/>
      <c r="G189" s="1"/>
      <c r="H189" s="1"/>
      <c r="O189" s="1"/>
      <c r="P189" s="1"/>
      <c r="Q189" s="1"/>
      <c r="R189" s="1"/>
      <c r="S189" s="1"/>
      <c r="T189" s="1"/>
      <c r="X189" s="1"/>
      <c r="Y189" s="1"/>
      <c r="Z189" s="1"/>
      <c r="AA189" s="1"/>
      <c r="AB189" s="1"/>
      <c r="AC189" s="1"/>
    </row>
    <row r="190" spans="2:29" x14ac:dyDescent="0.25">
      <c r="B190" s="4"/>
      <c r="C190" s="4"/>
      <c r="D190" s="4"/>
      <c r="F190" s="1"/>
      <c r="G190" s="1"/>
      <c r="H190" s="1"/>
      <c r="O190" s="1"/>
      <c r="P190" s="1"/>
      <c r="Q190" s="1"/>
      <c r="R190" s="1"/>
      <c r="S190" s="1"/>
      <c r="T190" s="1"/>
      <c r="X190" s="1"/>
      <c r="Y190" s="1"/>
      <c r="Z190" s="1"/>
      <c r="AA190" s="1"/>
      <c r="AB190" s="1"/>
      <c r="AC190" s="1"/>
    </row>
    <row r="191" spans="2:29" x14ac:dyDescent="0.25">
      <c r="B191" s="4"/>
      <c r="C191" s="4"/>
      <c r="D191" s="4"/>
      <c r="F191" s="1"/>
      <c r="G191" s="1"/>
      <c r="H191" s="1"/>
      <c r="O191" s="1"/>
      <c r="P191" s="1"/>
      <c r="Q191" s="1"/>
      <c r="R191" s="1"/>
      <c r="S191" s="1"/>
      <c r="T191" s="1"/>
      <c r="X191" s="1"/>
      <c r="Y191" s="1"/>
      <c r="Z191" s="1"/>
      <c r="AA191" s="1"/>
      <c r="AB191" s="1"/>
      <c r="AC191" s="1"/>
    </row>
    <row r="192" spans="2:29" x14ac:dyDescent="0.25">
      <c r="B192" s="4"/>
      <c r="C192" s="4"/>
      <c r="D192" s="4"/>
      <c r="F192" s="1"/>
      <c r="G192" s="1"/>
      <c r="H192" s="1"/>
      <c r="O192" s="1"/>
      <c r="P192" s="1"/>
      <c r="Q192" s="1"/>
      <c r="R192" s="1"/>
      <c r="S192" s="1"/>
      <c r="T192" s="1"/>
      <c r="X192" s="1"/>
      <c r="Y192" s="1"/>
      <c r="Z192" s="1"/>
      <c r="AA192" s="1"/>
      <c r="AB192" s="1"/>
      <c r="AC192" s="1"/>
    </row>
    <row r="193" spans="2:29" x14ac:dyDescent="0.25">
      <c r="B193" s="4"/>
      <c r="C193" s="4"/>
      <c r="D193" s="4"/>
      <c r="F193" s="1"/>
      <c r="G193" s="1"/>
      <c r="H193" s="1"/>
      <c r="O193" s="1"/>
      <c r="P193" s="1"/>
      <c r="Q193" s="1"/>
      <c r="R193" s="1"/>
      <c r="S193" s="1"/>
      <c r="T193" s="1"/>
      <c r="X193" s="1"/>
      <c r="Y193" s="1"/>
      <c r="Z193" s="1"/>
      <c r="AA193" s="1"/>
      <c r="AB193" s="1"/>
      <c r="AC193" s="1"/>
    </row>
    <row r="194" spans="2:29" x14ac:dyDescent="0.25">
      <c r="B194" s="4"/>
      <c r="C194" s="4"/>
      <c r="D194" s="4"/>
      <c r="F194" s="1"/>
      <c r="G194" s="1"/>
      <c r="H194" s="1"/>
      <c r="O194" s="1"/>
      <c r="P194" s="1"/>
      <c r="Q194" s="1"/>
      <c r="R194" s="1"/>
      <c r="S194" s="1"/>
      <c r="T194" s="1"/>
      <c r="X194" s="1"/>
      <c r="Y194" s="1"/>
      <c r="Z194" s="1"/>
      <c r="AA194" s="1"/>
      <c r="AB194" s="1"/>
      <c r="AC194" s="1"/>
    </row>
    <row r="195" spans="2:29" x14ac:dyDescent="0.25">
      <c r="B195" s="4"/>
      <c r="C195" s="4"/>
      <c r="D195" s="4"/>
      <c r="F195" s="1"/>
      <c r="G195" s="1"/>
      <c r="H195" s="1"/>
      <c r="O195" s="1"/>
      <c r="P195" s="1"/>
      <c r="Q195" s="1"/>
      <c r="R195" s="1"/>
      <c r="S195" s="1"/>
      <c r="T195" s="1"/>
      <c r="X195" s="1"/>
      <c r="Y195" s="1"/>
      <c r="Z195" s="1"/>
      <c r="AA195" s="1"/>
      <c r="AB195" s="1"/>
      <c r="AC195" s="1"/>
    </row>
    <row r="196" spans="2:29" x14ac:dyDescent="0.25">
      <c r="B196" s="4"/>
      <c r="C196" s="4"/>
      <c r="D196" s="4"/>
      <c r="F196" s="1"/>
      <c r="G196" s="1"/>
      <c r="H196" s="1"/>
      <c r="O196" s="1"/>
      <c r="P196" s="1"/>
      <c r="Q196" s="1"/>
      <c r="R196" s="1"/>
      <c r="S196" s="1"/>
      <c r="T196" s="1"/>
      <c r="X196" s="1"/>
      <c r="Y196" s="1"/>
      <c r="Z196" s="1"/>
      <c r="AA196" s="1"/>
      <c r="AB196" s="1"/>
      <c r="AC196" s="1"/>
    </row>
    <row r="197" spans="2:29" x14ac:dyDescent="0.25">
      <c r="B197" s="4"/>
      <c r="C197" s="4"/>
      <c r="D197" s="4"/>
      <c r="F197" s="1"/>
      <c r="G197" s="1"/>
      <c r="H197" s="1"/>
      <c r="O197" s="1"/>
      <c r="P197" s="1"/>
      <c r="Q197" s="1"/>
      <c r="R197" s="1"/>
      <c r="S197" s="1"/>
      <c r="T197" s="1"/>
      <c r="X197" s="1"/>
      <c r="Y197" s="1"/>
      <c r="Z197" s="1"/>
      <c r="AA197" s="1"/>
      <c r="AB197" s="1"/>
      <c r="AC197" s="1"/>
    </row>
    <row r="198" spans="2:29" x14ac:dyDescent="0.25">
      <c r="B198" s="4"/>
      <c r="C198" s="4"/>
      <c r="D198" s="4"/>
      <c r="F198" s="1"/>
      <c r="G198" s="1"/>
      <c r="H198" s="1"/>
      <c r="O198" s="1"/>
      <c r="P198" s="1"/>
      <c r="Q198" s="1"/>
      <c r="R198" s="1"/>
      <c r="S198" s="1"/>
      <c r="T198" s="1"/>
      <c r="X198" s="1"/>
      <c r="Y198" s="1"/>
      <c r="Z198" s="1"/>
      <c r="AA198" s="1"/>
      <c r="AB198" s="1"/>
      <c r="AC198" s="1"/>
    </row>
    <row r="199" spans="2:29" x14ac:dyDescent="0.25">
      <c r="B199" s="4"/>
      <c r="C199" s="4"/>
      <c r="D199" s="4"/>
      <c r="F199" s="1"/>
      <c r="G199" s="1"/>
      <c r="H199" s="1"/>
      <c r="O199" s="1"/>
      <c r="P199" s="1"/>
      <c r="Q199" s="1"/>
      <c r="R199" s="1"/>
      <c r="S199" s="1"/>
      <c r="T199" s="1"/>
      <c r="X199" s="1"/>
      <c r="Y199" s="1"/>
      <c r="Z199" s="1"/>
      <c r="AA199" s="1"/>
      <c r="AB199" s="1"/>
      <c r="AC199" s="1"/>
    </row>
    <row r="200" spans="2:29" x14ac:dyDescent="0.25">
      <c r="B200" s="4"/>
      <c r="C200" s="4"/>
      <c r="D200" s="4"/>
      <c r="F200" s="1"/>
      <c r="G200" s="1"/>
      <c r="H200" s="1"/>
      <c r="O200" s="1"/>
      <c r="P200" s="1"/>
      <c r="Q200" s="1"/>
      <c r="R200" s="1"/>
      <c r="S200" s="1"/>
      <c r="T200" s="1"/>
      <c r="X200" s="1"/>
      <c r="Y200" s="1"/>
      <c r="Z200" s="1"/>
      <c r="AA200" s="1"/>
      <c r="AB200" s="1"/>
      <c r="AC200" s="1"/>
    </row>
    <row r="201" spans="2:29" x14ac:dyDescent="0.25">
      <c r="B201" s="4"/>
      <c r="C201" s="4"/>
      <c r="D201" s="4"/>
      <c r="F201" s="1"/>
      <c r="G201" s="1"/>
      <c r="H201" s="1"/>
      <c r="O201" s="1"/>
      <c r="P201" s="1"/>
      <c r="Q201" s="1"/>
      <c r="R201" s="1"/>
      <c r="S201" s="1"/>
      <c r="T201" s="1"/>
      <c r="X201" s="1"/>
      <c r="Y201" s="1"/>
      <c r="Z201" s="1"/>
      <c r="AA201" s="1"/>
      <c r="AB201" s="1"/>
      <c r="AC201" s="1"/>
    </row>
    <row r="202" spans="2:29" x14ac:dyDescent="0.25">
      <c r="B202" s="4"/>
      <c r="C202" s="4"/>
      <c r="D202" s="4"/>
      <c r="F202" s="1"/>
      <c r="G202" s="1"/>
      <c r="H202" s="1"/>
      <c r="O202" s="1"/>
      <c r="P202" s="1"/>
      <c r="Q202" s="1"/>
      <c r="R202" s="1"/>
      <c r="S202" s="1"/>
      <c r="T202" s="1"/>
      <c r="X202" s="1"/>
      <c r="Y202" s="1"/>
      <c r="Z202" s="1"/>
      <c r="AA202" s="1"/>
      <c r="AB202" s="1"/>
      <c r="AC202" s="1"/>
    </row>
    <row r="203" spans="2:29" x14ac:dyDescent="0.25">
      <c r="B203" s="4"/>
      <c r="C203" s="4"/>
      <c r="D203" s="4"/>
      <c r="F203" s="1"/>
      <c r="G203" s="1"/>
      <c r="H203" s="1"/>
      <c r="O203" s="1"/>
      <c r="P203" s="1"/>
      <c r="Q203" s="1"/>
      <c r="R203" s="1"/>
      <c r="S203" s="1"/>
      <c r="T203" s="1"/>
      <c r="X203" s="1"/>
      <c r="Y203" s="1"/>
      <c r="Z203" s="1"/>
      <c r="AA203" s="1"/>
      <c r="AB203" s="1"/>
      <c r="AC203" s="1"/>
    </row>
    <row r="204" spans="2:29" x14ac:dyDescent="0.25">
      <c r="B204" s="4"/>
      <c r="C204" s="4"/>
      <c r="D204" s="4"/>
      <c r="F204" s="1"/>
      <c r="G204" s="1"/>
      <c r="H204" s="1"/>
      <c r="O204" s="1"/>
      <c r="P204" s="1"/>
      <c r="Q204" s="1"/>
      <c r="R204" s="1"/>
      <c r="S204" s="1"/>
      <c r="T204" s="1"/>
      <c r="X204" s="1"/>
      <c r="Y204" s="1"/>
      <c r="Z204" s="1"/>
      <c r="AA204" s="1"/>
      <c r="AB204" s="1"/>
      <c r="AC204" s="1"/>
    </row>
    <row r="205" spans="2:29" x14ac:dyDescent="0.25">
      <c r="B205" s="4"/>
      <c r="C205" s="4"/>
      <c r="D205" s="4"/>
      <c r="F205" s="1"/>
      <c r="G205" s="1"/>
      <c r="H205" s="1"/>
      <c r="O205" s="1"/>
      <c r="P205" s="1"/>
      <c r="Q205" s="1"/>
      <c r="R205" s="1"/>
      <c r="S205" s="1"/>
      <c r="T205" s="1"/>
      <c r="X205" s="1"/>
      <c r="Y205" s="1"/>
      <c r="Z205" s="1"/>
      <c r="AA205" s="1"/>
      <c r="AB205" s="1"/>
      <c r="AC205" s="1"/>
    </row>
    <row r="206" spans="2:29" x14ac:dyDescent="0.25">
      <c r="B206" s="4"/>
      <c r="C206" s="4"/>
      <c r="D206" s="4"/>
      <c r="F206" s="1"/>
      <c r="G206" s="1"/>
      <c r="H206" s="1"/>
      <c r="O206" s="1"/>
      <c r="P206" s="1"/>
      <c r="Q206" s="1"/>
      <c r="R206" s="1"/>
      <c r="S206" s="1"/>
      <c r="T206" s="1"/>
      <c r="X206" s="1"/>
      <c r="Y206" s="1"/>
      <c r="Z206" s="1"/>
      <c r="AA206" s="1"/>
      <c r="AB206" s="1"/>
      <c r="AC206" s="1"/>
    </row>
    <row r="207" spans="2:29" x14ac:dyDescent="0.25">
      <c r="B207" s="4"/>
      <c r="C207" s="4"/>
      <c r="D207" s="4"/>
      <c r="F207" s="1"/>
      <c r="G207" s="1"/>
      <c r="H207" s="1"/>
      <c r="O207" s="1"/>
      <c r="P207" s="1"/>
      <c r="Q207" s="1"/>
      <c r="R207" s="1"/>
      <c r="S207" s="1"/>
      <c r="T207" s="1"/>
      <c r="X207" s="1"/>
      <c r="Y207" s="1"/>
      <c r="Z207" s="1"/>
      <c r="AA207" s="1"/>
      <c r="AB207" s="1"/>
      <c r="AC207" s="1"/>
    </row>
    <row r="208" spans="2:29" x14ac:dyDescent="0.25">
      <c r="B208" s="4"/>
      <c r="C208" s="4"/>
      <c r="D208" s="4"/>
      <c r="F208" s="1"/>
      <c r="G208" s="1"/>
      <c r="H208" s="1"/>
      <c r="O208" s="1"/>
      <c r="P208" s="1"/>
      <c r="Q208" s="1"/>
      <c r="R208" s="1"/>
      <c r="S208" s="1"/>
      <c r="T208" s="1"/>
      <c r="X208" s="1"/>
      <c r="Y208" s="1"/>
      <c r="Z208" s="1"/>
      <c r="AA208" s="1"/>
      <c r="AB208" s="1"/>
      <c r="AC208" s="1"/>
    </row>
    <row r="209" spans="2:29" x14ac:dyDescent="0.25">
      <c r="B209" s="4"/>
      <c r="C209" s="4"/>
      <c r="D209" s="4"/>
      <c r="F209" s="1"/>
      <c r="G209" s="1"/>
      <c r="H209" s="1"/>
      <c r="O209" s="1"/>
      <c r="P209" s="1"/>
      <c r="Q209" s="1"/>
      <c r="R209" s="1"/>
      <c r="S209" s="1"/>
      <c r="T209" s="1"/>
      <c r="X209" s="1"/>
      <c r="Y209" s="1"/>
      <c r="Z209" s="1"/>
      <c r="AA209" s="1"/>
      <c r="AB209" s="1"/>
      <c r="AC209" s="1"/>
    </row>
    <row r="210" spans="2:29" x14ac:dyDescent="0.25">
      <c r="B210" s="4"/>
      <c r="C210" s="4"/>
      <c r="D210" s="4"/>
      <c r="F210" s="1"/>
      <c r="G210" s="1"/>
      <c r="H210" s="1"/>
      <c r="O210" s="1"/>
      <c r="P210" s="1"/>
      <c r="Q210" s="1"/>
      <c r="R210" s="1"/>
      <c r="S210" s="1"/>
      <c r="T210" s="1"/>
      <c r="X210" s="1"/>
      <c r="Y210" s="1"/>
      <c r="Z210" s="1"/>
      <c r="AA210" s="1"/>
      <c r="AB210" s="1"/>
      <c r="AC210" s="1"/>
    </row>
    <row r="211" spans="2:29" x14ac:dyDescent="0.25">
      <c r="B211" s="4"/>
      <c r="C211" s="4"/>
      <c r="D211" s="4"/>
      <c r="F211" s="1"/>
      <c r="G211" s="1"/>
      <c r="H211" s="1"/>
      <c r="O211" s="1"/>
      <c r="P211" s="1"/>
      <c r="Q211" s="1"/>
      <c r="R211" s="1"/>
      <c r="S211" s="1"/>
      <c r="T211" s="1"/>
      <c r="X211" s="1"/>
      <c r="Y211" s="1"/>
      <c r="Z211" s="1"/>
      <c r="AA211" s="1"/>
      <c r="AB211" s="1"/>
      <c r="AC211" s="1"/>
    </row>
    <row r="212" spans="2:29" x14ac:dyDescent="0.25">
      <c r="B212" s="4"/>
      <c r="C212" s="4"/>
      <c r="D212" s="4"/>
      <c r="F212" s="1"/>
      <c r="G212" s="1"/>
      <c r="H212" s="1"/>
      <c r="O212" s="1"/>
      <c r="P212" s="1"/>
      <c r="Q212" s="1"/>
      <c r="R212" s="1"/>
      <c r="S212" s="1"/>
      <c r="T212" s="1"/>
      <c r="X212" s="1"/>
      <c r="Y212" s="1"/>
      <c r="Z212" s="1"/>
      <c r="AA212" s="1"/>
      <c r="AB212" s="1"/>
      <c r="AC212" s="1"/>
    </row>
    <row r="213" spans="2:29" x14ac:dyDescent="0.25">
      <c r="B213" s="4"/>
      <c r="C213" s="4"/>
      <c r="D213" s="4"/>
      <c r="F213" s="1"/>
      <c r="G213" s="1"/>
      <c r="H213" s="1"/>
      <c r="O213" s="1"/>
      <c r="P213" s="1"/>
      <c r="Q213" s="1"/>
      <c r="R213" s="1"/>
      <c r="S213" s="1"/>
      <c r="T213" s="1"/>
      <c r="X213" s="1"/>
      <c r="Y213" s="1"/>
      <c r="Z213" s="1"/>
      <c r="AA213" s="1"/>
      <c r="AB213" s="1"/>
      <c r="AC213" s="1"/>
    </row>
    <row r="214" spans="2:29" x14ac:dyDescent="0.25">
      <c r="B214" s="4"/>
      <c r="C214" s="4"/>
      <c r="D214" s="4"/>
      <c r="F214" s="1"/>
      <c r="G214" s="1"/>
      <c r="H214" s="1"/>
      <c r="O214" s="1"/>
      <c r="P214" s="1"/>
      <c r="Q214" s="1"/>
      <c r="R214" s="1"/>
      <c r="S214" s="1"/>
      <c r="T214" s="1"/>
      <c r="X214" s="1"/>
      <c r="Y214" s="1"/>
      <c r="Z214" s="1"/>
      <c r="AA214" s="1"/>
      <c r="AB214" s="1"/>
      <c r="AC214" s="1"/>
    </row>
    <row r="215" spans="2:29" x14ac:dyDescent="0.25">
      <c r="B215" s="4"/>
      <c r="C215" s="4"/>
      <c r="D215" s="4"/>
      <c r="F215" s="1"/>
      <c r="G215" s="1"/>
      <c r="H215" s="1"/>
      <c r="O215" s="1"/>
      <c r="P215" s="1"/>
      <c r="Q215" s="1"/>
      <c r="R215" s="1"/>
      <c r="S215" s="1"/>
      <c r="T215" s="1"/>
      <c r="X215" s="1"/>
      <c r="Y215" s="1"/>
      <c r="Z215" s="1"/>
      <c r="AA215" s="1"/>
      <c r="AB215" s="1"/>
      <c r="AC215" s="1"/>
    </row>
    <row r="216" spans="2:29" x14ac:dyDescent="0.25">
      <c r="B216" s="4"/>
      <c r="C216" s="4"/>
      <c r="D216" s="4"/>
      <c r="F216" s="1"/>
      <c r="G216" s="1"/>
      <c r="H216" s="1"/>
      <c r="O216" s="1"/>
      <c r="P216" s="1"/>
      <c r="Q216" s="1"/>
      <c r="R216" s="1"/>
      <c r="S216" s="1"/>
      <c r="T216" s="1"/>
      <c r="X216" s="1"/>
      <c r="Y216" s="1"/>
      <c r="Z216" s="1"/>
      <c r="AA216" s="1"/>
      <c r="AB216" s="1"/>
      <c r="AC216" s="1"/>
    </row>
    <row r="217" spans="2:29" x14ac:dyDescent="0.25">
      <c r="B217" s="4"/>
      <c r="C217" s="4"/>
      <c r="D217" s="4"/>
      <c r="F217" s="1"/>
      <c r="G217" s="1"/>
      <c r="H217" s="1"/>
      <c r="O217" s="1"/>
      <c r="P217" s="1"/>
      <c r="Q217" s="1"/>
      <c r="R217" s="1"/>
      <c r="S217" s="1"/>
      <c r="T217" s="1"/>
      <c r="X217" s="1"/>
      <c r="Y217" s="1"/>
      <c r="Z217" s="1"/>
      <c r="AA217" s="1"/>
      <c r="AB217" s="1"/>
      <c r="AC217" s="1"/>
    </row>
    <row r="218" spans="2:29" x14ac:dyDescent="0.25">
      <c r="B218" s="4"/>
      <c r="C218" s="4"/>
      <c r="D218" s="4"/>
      <c r="F218" s="1"/>
      <c r="G218" s="1"/>
      <c r="H218" s="1"/>
      <c r="O218" s="1"/>
      <c r="P218" s="1"/>
      <c r="Q218" s="1"/>
      <c r="R218" s="1"/>
      <c r="S218" s="1"/>
      <c r="T218" s="1"/>
      <c r="X218" s="1"/>
      <c r="Y218" s="1"/>
      <c r="Z218" s="1"/>
      <c r="AA218" s="1"/>
      <c r="AB218" s="1"/>
      <c r="AC218" s="1"/>
    </row>
    <row r="219" spans="2:29" x14ac:dyDescent="0.25">
      <c r="B219" s="4"/>
      <c r="C219" s="4"/>
      <c r="D219" s="4"/>
      <c r="F219" s="1"/>
      <c r="G219" s="1"/>
      <c r="H219" s="1"/>
      <c r="O219" s="1"/>
      <c r="P219" s="1"/>
      <c r="Q219" s="1"/>
      <c r="R219" s="1"/>
      <c r="S219" s="1"/>
      <c r="T219" s="1"/>
      <c r="X219" s="1"/>
      <c r="Y219" s="1"/>
      <c r="Z219" s="1"/>
      <c r="AA219" s="1"/>
      <c r="AB219" s="1"/>
      <c r="AC219" s="1"/>
    </row>
    <row r="220" spans="2:29" x14ac:dyDescent="0.25">
      <c r="B220" s="4"/>
      <c r="C220" s="4"/>
      <c r="D220" s="4"/>
      <c r="F220" s="1"/>
      <c r="G220" s="1"/>
      <c r="H220" s="1"/>
      <c r="O220" s="1"/>
      <c r="P220" s="1"/>
      <c r="Q220" s="1"/>
      <c r="R220" s="1"/>
      <c r="S220" s="1"/>
      <c r="T220" s="1"/>
      <c r="X220" s="1"/>
      <c r="Y220" s="1"/>
      <c r="Z220" s="1"/>
      <c r="AA220" s="1"/>
      <c r="AB220" s="1"/>
      <c r="AC220" s="1"/>
    </row>
    <row r="221" spans="2:29" x14ac:dyDescent="0.25">
      <c r="B221" s="4"/>
      <c r="C221" s="4"/>
      <c r="D221" s="4"/>
      <c r="F221" s="1"/>
      <c r="G221" s="1"/>
      <c r="H221" s="1"/>
      <c r="O221" s="1"/>
      <c r="P221" s="1"/>
      <c r="Q221" s="1"/>
      <c r="R221" s="1"/>
      <c r="S221" s="1"/>
      <c r="T221" s="1"/>
      <c r="X221" s="1"/>
      <c r="Y221" s="1"/>
      <c r="Z221" s="1"/>
      <c r="AA221" s="1"/>
      <c r="AB221" s="1"/>
      <c r="AC221" s="1"/>
    </row>
    <row r="222" spans="2:29" x14ac:dyDescent="0.25">
      <c r="B222" s="4"/>
      <c r="C222" s="4"/>
      <c r="D222" s="4"/>
      <c r="F222" s="1"/>
      <c r="G222" s="1"/>
      <c r="H222" s="1"/>
      <c r="O222" s="1"/>
      <c r="P222" s="1"/>
      <c r="Q222" s="1"/>
      <c r="R222" s="1"/>
      <c r="S222" s="1"/>
      <c r="T222" s="1"/>
      <c r="X222" s="1"/>
      <c r="Y222" s="1"/>
      <c r="Z222" s="1"/>
      <c r="AA222" s="1"/>
      <c r="AB222" s="1"/>
      <c r="AC222" s="1"/>
    </row>
    <row r="223" spans="2:29" x14ac:dyDescent="0.25">
      <c r="B223" s="4"/>
      <c r="C223" s="4"/>
      <c r="D223" s="4"/>
      <c r="F223" s="1"/>
      <c r="G223" s="1"/>
      <c r="H223" s="1"/>
      <c r="O223" s="1"/>
      <c r="P223" s="1"/>
      <c r="Q223" s="1"/>
      <c r="R223" s="1"/>
      <c r="S223" s="1"/>
      <c r="T223" s="1"/>
      <c r="X223" s="1"/>
      <c r="Y223" s="1"/>
      <c r="Z223" s="1"/>
      <c r="AA223" s="1"/>
      <c r="AB223" s="1"/>
      <c r="AC223" s="1"/>
    </row>
    <row r="224" spans="2:29" x14ac:dyDescent="0.25">
      <c r="B224" s="4"/>
      <c r="C224" s="4"/>
      <c r="D224" s="4"/>
      <c r="F224" s="1"/>
      <c r="G224" s="1"/>
      <c r="H224" s="1"/>
      <c r="O224" s="1"/>
      <c r="P224" s="1"/>
      <c r="Q224" s="1"/>
      <c r="R224" s="1"/>
      <c r="S224" s="1"/>
      <c r="T224" s="1"/>
      <c r="X224" s="1"/>
      <c r="Y224" s="1"/>
      <c r="Z224" s="1"/>
      <c r="AA224" s="1"/>
      <c r="AB224" s="1"/>
      <c r="AC224" s="1"/>
    </row>
    <row r="225" spans="2:29" x14ac:dyDescent="0.25">
      <c r="B225" s="4"/>
      <c r="C225" s="4"/>
      <c r="D225" s="4"/>
      <c r="F225" s="1"/>
      <c r="G225" s="1"/>
      <c r="H225" s="1"/>
      <c r="O225" s="1"/>
      <c r="P225" s="1"/>
      <c r="Q225" s="1"/>
      <c r="R225" s="1"/>
      <c r="S225" s="1"/>
      <c r="T225" s="1"/>
      <c r="X225" s="1"/>
      <c r="Y225" s="1"/>
      <c r="Z225" s="1"/>
      <c r="AA225" s="1"/>
      <c r="AB225" s="1"/>
      <c r="AC225" s="1"/>
    </row>
    <row r="226" spans="2:29" x14ac:dyDescent="0.25">
      <c r="B226" s="4"/>
      <c r="C226" s="4"/>
      <c r="D226" s="4"/>
      <c r="F226" s="1"/>
      <c r="G226" s="1"/>
      <c r="H226" s="1"/>
      <c r="O226" s="1"/>
      <c r="P226" s="1"/>
      <c r="Q226" s="1"/>
      <c r="R226" s="1"/>
      <c r="S226" s="1"/>
      <c r="T226" s="1"/>
      <c r="X226" s="1"/>
      <c r="Y226" s="1"/>
      <c r="Z226" s="1"/>
      <c r="AA226" s="1"/>
      <c r="AB226" s="1"/>
      <c r="AC226" s="1"/>
    </row>
    <row r="227" spans="2:29" x14ac:dyDescent="0.25">
      <c r="B227" s="4"/>
      <c r="C227" s="4"/>
      <c r="D227" s="4"/>
      <c r="F227" s="1"/>
      <c r="G227" s="1"/>
      <c r="H227" s="1"/>
      <c r="O227" s="1"/>
      <c r="P227" s="1"/>
      <c r="Q227" s="1"/>
      <c r="R227" s="1"/>
      <c r="S227" s="1"/>
      <c r="T227" s="1"/>
      <c r="X227" s="1"/>
      <c r="Y227" s="1"/>
      <c r="Z227" s="1"/>
      <c r="AA227" s="1"/>
      <c r="AB227" s="1"/>
      <c r="AC227" s="1"/>
    </row>
    <row r="228" spans="2:29" x14ac:dyDescent="0.25">
      <c r="B228" s="4"/>
      <c r="C228" s="4"/>
      <c r="D228" s="4"/>
      <c r="F228" s="1"/>
      <c r="G228" s="1"/>
      <c r="H228" s="1"/>
      <c r="O228" s="1"/>
      <c r="P228" s="1"/>
      <c r="Q228" s="1"/>
      <c r="R228" s="1"/>
      <c r="S228" s="1"/>
      <c r="T228" s="1"/>
      <c r="X228" s="1"/>
      <c r="Y228" s="1"/>
      <c r="Z228" s="1"/>
      <c r="AA228" s="1"/>
      <c r="AB228" s="1"/>
      <c r="AC228" s="1"/>
    </row>
    <row r="229" spans="2:29" x14ac:dyDescent="0.25">
      <c r="B229" s="4"/>
      <c r="C229" s="4"/>
      <c r="D229" s="4"/>
      <c r="F229" s="1"/>
      <c r="G229" s="1"/>
      <c r="H229" s="1"/>
      <c r="O229" s="1"/>
      <c r="P229" s="1"/>
      <c r="Q229" s="1"/>
      <c r="R229" s="1"/>
      <c r="S229" s="1"/>
      <c r="T229" s="1"/>
      <c r="X229" s="1"/>
      <c r="Y229" s="1"/>
      <c r="Z229" s="1"/>
      <c r="AA229" s="1"/>
      <c r="AB229" s="1"/>
      <c r="AC229" s="1"/>
    </row>
    <row r="230" spans="2:29" x14ac:dyDescent="0.25">
      <c r="B230" s="4"/>
      <c r="C230" s="4"/>
      <c r="D230" s="4"/>
      <c r="F230" s="1"/>
      <c r="G230" s="1"/>
      <c r="H230" s="1"/>
      <c r="O230" s="1"/>
      <c r="P230" s="1"/>
      <c r="Q230" s="1"/>
      <c r="R230" s="1"/>
      <c r="S230" s="1"/>
      <c r="T230" s="1"/>
      <c r="X230" s="1"/>
      <c r="Y230" s="1"/>
      <c r="Z230" s="1"/>
      <c r="AA230" s="1"/>
      <c r="AB230" s="1"/>
      <c r="AC230" s="1"/>
    </row>
    <row r="231" spans="2:29" x14ac:dyDescent="0.25">
      <c r="B231" s="4"/>
      <c r="C231" s="4"/>
      <c r="D231" s="4"/>
      <c r="F231" s="1"/>
      <c r="G231" s="1"/>
      <c r="H231" s="1"/>
      <c r="O231" s="1"/>
      <c r="P231" s="1"/>
      <c r="Q231" s="1"/>
      <c r="R231" s="1"/>
      <c r="S231" s="1"/>
      <c r="T231" s="1"/>
      <c r="X231" s="1"/>
      <c r="Y231" s="1"/>
      <c r="Z231" s="1"/>
      <c r="AA231" s="1"/>
      <c r="AB231" s="1"/>
      <c r="AC231" s="1"/>
    </row>
    <row r="232" spans="2:29" x14ac:dyDescent="0.25">
      <c r="B232" s="4"/>
      <c r="C232" s="4"/>
      <c r="D232" s="4"/>
      <c r="F232" s="1"/>
      <c r="G232" s="1"/>
      <c r="H232" s="1"/>
      <c r="O232" s="1"/>
      <c r="P232" s="1"/>
      <c r="Q232" s="1"/>
      <c r="R232" s="1"/>
      <c r="S232" s="1"/>
      <c r="T232" s="1"/>
      <c r="X232" s="1"/>
      <c r="Y232" s="1"/>
      <c r="Z232" s="1"/>
      <c r="AA232" s="1"/>
      <c r="AB232" s="1"/>
      <c r="AC232" s="1"/>
    </row>
    <row r="233" spans="2:29" x14ac:dyDescent="0.25">
      <c r="B233" s="4"/>
      <c r="C233" s="4"/>
      <c r="D233" s="4"/>
      <c r="F233" s="1"/>
      <c r="G233" s="1"/>
      <c r="H233" s="1"/>
      <c r="O233" s="1"/>
      <c r="P233" s="1"/>
      <c r="Q233" s="1"/>
      <c r="R233" s="1"/>
      <c r="S233" s="1"/>
      <c r="T233" s="1"/>
      <c r="X233" s="1"/>
      <c r="Y233" s="1"/>
      <c r="Z233" s="1"/>
      <c r="AA233" s="1"/>
      <c r="AB233" s="1"/>
      <c r="AC233" s="1"/>
    </row>
    <row r="234" spans="2:29" x14ac:dyDescent="0.25">
      <c r="B234" s="4"/>
      <c r="C234" s="4"/>
      <c r="D234" s="4"/>
      <c r="F234" s="1"/>
      <c r="G234" s="1"/>
      <c r="H234" s="1"/>
      <c r="O234" s="1"/>
      <c r="P234" s="1"/>
      <c r="Q234" s="1"/>
      <c r="R234" s="1"/>
      <c r="S234" s="1"/>
      <c r="T234" s="1"/>
      <c r="X234" s="1"/>
      <c r="Y234" s="1"/>
      <c r="Z234" s="1"/>
      <c r="AA234" s="1"/>
      <c r="AB234" s="1"/>
      <c r="AC234" s="1"/>
    </row>
    <row r="235" spans="2:29" x14ac:dyDescent="0.25">
      <c r="B235" s="4"/>
      <c r="C235" s="4"/>
      <c r="D235" s="4"/>
      <c r="F235" s="1"/>
      <c r="G235" s="1"/>
      <c r="H235" s="1"/>
      <c r="O235" s="1"/>
      <c r="P235" s="1"/>
      <c r="Q235" s="1"/>
      <c r="R235" s="1"/>
      <c r="S235" s="1"/>
      <c r="T235" s="1"/>
      <c r="X235" s="1"/>
      <c r="Y235" s="1"/>
      <c r="Z235" s="1"/>
      <c r="AA235" s="1"/>
      <c r="AB235" s="1"/>
      <c r="AC235" s="1"/>
    </row>
    <row r="236" spans="2:29" x14ac:dyDescent="0.25">
      <c r="B236" s="4"/>
      <c r="C236" s="4"/>
      <c r="D236" s="4"/>
      <c r="F236" s="1"/>
      <c r="G236" s="1"/>
      <c r="H236" s="1"/>
      <c r="O236" s="1"/>
      <c r="P236" s="1"/>
      <c r="Q236" s="1"/>
      <c r="R236" s="1"/>
      <c r="S236" s="1"/>
      <c r="T236" s="1"/>
      <c r="X236" s="1"/>
      <c r="Y236" s="1"/>
      <c r="Z236" s="1"/>
      <c r="AA236" s="1"/>
      <c r="AB236" s="1"/>
      <c r="AC236" s="1"/>
    </row>
    <row r="237" spans="2:29" x14ac:dyDescent="0.25">
      <c r="B237" s="4"/>
      <c r="C237" s="4"/>
      <c r="D237" s="4"/>
      <c r="F237" s="1"/>
      <c r="G237" s="1"/>
      <c r="H237" s="1"/>
      <c r="O237" s="1"/>
      <c r="P237" s="1"/>
      <c r="Q237" s="1"/>
      <c r="R237" s="1"/>
      <c r="S237" s="1"/>
      <c r="T237" s="1"/>
      <c r="X237" s="1"/>
      <c r="Y237" s="1"/>
      <c r="Z237" s="1"/>
      <c r="AA237" s="1"/>
      <c r="AB237" s="1"/>
      <c r="AC237" s="1"/>
    </row>
    <row r="238" spans="2:29" x14ac:dyDescent="0.25">
      <c r="B238" s="4"/>
      <c r="C238" s="4"/>
      <c r="D238" s="4"/>
      <c r="F238" s="1"/>
      <c r="G238" s="1"/>
      <c r="H238" s="1"/>
      <c r="O238" s="1"/>
      <c r="P238" s="1"/>
      <c r="Q238" s="1"/>
      <c r="R238" s="1"/>
      <c r="S238" s="1"/>
      <c r="T238" s="1"/>
      <c r="X238" s="1"/>
      <c r="Y238" s="1"/>
      <c r="Z238" s="1"/>
      <c r="AA238" s="1"/>
      <c r="AB238" s="1"/>
      <c r="AC238" s="1"/>
    </row>
    <row r="239" spans="2:29" x14ac:dyDescent="0.25">
      <c r="B239" s="4"/>
      <c r="C239" s="4"/>
      <c r="D239" s="4"/>
      <c r="F239" s="1"/>
      <c r="G239" s="1"/>
      <c r="H239" s="1"/>
      <c r="O239" s="1"/>
      <c r="P239" s="1"/>
      <c r="Q239" s="1"/>
      <c r="R239" s="1"/>
      <c r="S239" s="1"/>
      <c r="T239" s="1"/>
      <c r="X239" s="1"/>
      <c r="Y239" s="1"/>
      <c r="Z239" s="1"/>
      <c r="AA239" s="1"/>
      <c r="AB239" s="1"/>
      <c r="AC239" s="1"/>
    </row>
  </sheetData>
  <mergeCells count="7">
    <mergeCell ref="AG37:AK41"/>
    <mergeCell ref="AL37:AP41"/>
    <mergeCell ref="AL66:AP69"/>
    <mergeCell ref="AQ66:AU69"/>
    <mergeCell ref="AV66:AZ69"/>
    <mergeCell ref="AQ37:AU40"/>
    <mergeCell ref="AV37:AZ40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Sheet1</vt:lpstr>
      <vt:lpstr>Sheet2</vt:lpstr>
      <vt:lpstr>Sheet3</vt:lpstr>
      <vt:lpstr>baseReward</vt:lpstr>
      <vt:lpstr>medianBlockSize</vt:lpstr>
      <vt:lpstr>singleTxExpansionFactor</vt:lpstr>
      <vt:lpstr>T_0</vt:lpstr>
      <vt:lpstr>W_0</vt:lpstr>
      <vt:lpstr>XMRUSD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</dc:creator>
  <cp:lastModifiedBy>M</cp:lastModifiedBy>
  <dcterms:created xsi:type="dcterms:W3CDTF">2017-02-03T23:20:06Z</dcterms:created>
  <dcterms:modified xsi:type="dcterms:W3CDTF">2017-02-20T00:14:25Z</dcterms:modified>
</cp:coreProperties>
</file>